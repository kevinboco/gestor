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Asociacion ALEEWASHII\LAILA ASOCIACION ALEEWASHII\CONTABILIDAD\COMPROBANTES DE PAGO\COMPROBANTES DE PAGO AGOSTO 2023\"/>
    </mc:Choice>
  </mc:AlternateContent>
  <bookViews>
    <workbookView xWindow="-120" yWindow="-120" windowWidth="19440" windowHeight="11640" firstSheet="5" activeTab="8"/>
  </bookViews>
  <sheets>
    <sheet name="AMBIENTAL" sheetId="20" r:id="rId1"/>
    <sheet name="PSICOSOCIAL" sheetId="22" r:id="rId2"/>
    <sheet name="SABEDOR ANCESTRAL" sheetId="23" r:id="rId3"/>
    <sheet name="DINAMIZADOR" sheetId="24" r:id="rId4"/>
    <sheet name="PROF. CONTABLE" sheetId="25" r:id="rId5"/>
    <sheet name="AUX. ADMINISTRATIVO" sheetId="26" r:id="rId6"/>
    <sheet name="ASESOR JURIDICO" sheetId="27" r:id="rId7"/>
    <sheet name="SERVICIO TRANSPORTE" sheetId="28" r:id="rId8"/>
    <sheet name="RESUMEN de PAGOS" sheetId="30" r:id="rId9"/>
    <sheet name="CARLOS DIAZ" sheetId="31" r:id="rId10"/>
  </sheets>
  <functionGroups builtInGroupCount="18"/>
  <definedNames>
    <definedName name="_xlnm.Print_Area" localSheetId="0">AMBIENTAL!$A$1:$J$220</definedName>
    <definedName name="_xlnm.Print_Area" localSheetId="6">'ASESOR JURIDICO'!$A$1:$J$220</definedName>
    <definedName name="_xlnm.Print_Area" localSheetId="5">'AUX. ADMINISTRATIVO'!$A$1:$J$219</definedName>
    <definedName name="_xlnm.Print_Area" localSheetId="9">'CARLOS DIAZ'!$A$1:$J$219</definedName>
    <definedName name="_xlnm.Print_Area" localSheetId="3">DINAMIZADOR!$A$1:$J$219</definedName>
    <definedName name="_xlnm.Print_Area" localSheetId="4">'PROF. CONTABLE'!$A$1:$J$219</definedName>
    <definedName name="_xlnm.Print_Area" localSheetId="1">PSICOSOCIAL!$A$1:$J$220</definedName>
    <definedName name="_xlnm.Print_Area" localSheetId="8">'RESUMEN de PAGOS'!$A$1:$K$12</definedName>
    <definedName name="_xlnm.Print_Area" localSheetId="2">'SABEDOR ANCESTRAL'!$A$1:$J$219</definedName>
    <definedName name="_xlnm.Print_Area" localSheetId="7">'SERVICIO TRANSPORTE'!$A$1:$J$219</definedName>
    <definedName name="numbers">{"";"One";"Two";"Three";"Four";"Five";"Six";"Seven";"Eight";"Nine";"Ten";"Eleven";"Twelve";"Thirteen";"Fourteen";"Fifteen";"Sixteen";"Seventeen";"Eighteen";"Nineteen"}</definedName>
    <definedName name="tens">{"";"";"Twenty";"Thirty";"Forty";"Fifty";"Sixty";"Seventy";"Eighty";"Ninety"}</definedName>
    <definedName name="valuevx">42.314159</definedName>
    <definedName name="vertex42_copyright" hidden="1">"© 2009-2016 Vertex42 LLC"</definedName>
    <definedName name="vertex42_id" hidden="1">"cash-receipt.xlsx"</definedName>
    <definedName name="vertex42_title" hidden="1">"Cash Receipt Template"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1" i="30" l="1"/>
  <c r="D11" i="30"/>
  <c r="G11" i="30" s="1"/>
  <c r="K11" i="30" s="1"/>
  <c r="C11" i="30"/>
  <c r="B11" i="30"/>
  <c r="A11" i="30"/>
  <c r="H22" i="31"/>
  <c r="E58" i="31"/>
  <c r="E42" i="31"/>
  <c r="H20" i="31"/>
  <c r="H23" i="31" s="1"/>
  <c r="B10" i="31"/>
  <c r="B45" i="31"/>
  <c r="B61" i="31"/>
  <c r="H21" i="31" l="1"/>
  <c r="L3" i="30" l="1"/>
  <c r="L5" i="30"/>
  <c r="L6" i="30"/>
  <c r="L7" i="30"/>
  <c r="L8" i="30"/>
  <c r="L9" i="30"/>
  <c r="L10" i="30"/>
  <c r="H25" i="31" s="1"/>
  <c r="H27" i="31" s="1"/>
  <c r="H12" i="31" s="1"/>
  <c r="B14" i="31"/>
  <c r="C10" i="30" l="1"/>
  <c r="C9" i="30"/>
  <c r="C8" i="30"/>
  <c r="C7" i="30"/>
  <c r="C6" i="30"/>
  <c r="C5" i="30"/>
  <c r="C4" i="30"/>
  <c r="C3" i="30"/>
  <c r="H27" i="27" l="1"/>
  <c r="H27" i="22"/>
  <c r="H27" i="20"/>
  <c r="H20" i="28" l="1"/>
  <c r="H23" i="28" s="1"/>
  <c r="H20" i="27"/>
  <c r="H23" i="27" s="1"/>
  <c r="H20" i="26"/>
  <c r="H23" i="26" s="1"/>
  <c r="H25" i="25"/>
  <c r="H20" i="25"/>
  <c r="H21" i="25" s="1"/>
  <c r="H20" i="24"/>
  <c r="H21" i="24" s="1"/>
  <c r="H20" i="23"/>
  <c r="H21" i="23" s="1"/>
  <c r="H20" i="22"/>
  <c r="H21" i="22" s="1"/>
  <c r="H25" i="28"/>
  <c r="H25" i="27"/>
  <c r="H25" i="26"/>
  <c r="H25" i="24"/>
  <c r="H25" i="23"/>
  <c r="H25" i="20"/>
  <c r="H23" i="24" l="1"/>
  <c r="H23" i="23"/>
  <c r="H27" i="28"/>
  <c r="H21" i="28"/>
  <c r="H26" i="27"/>
  <c r="H28" i="27" s="1"/>
  <c r="H21" i="27"/>
  <c r="H26" i="26"/>
  <c r="H27" i="26" s="1"/>
  <c r="H21" i="26"/>
  <c r="H23" i="25"/>
  <c r="H26" i="24"/>
  <c r="H27" i="24" s="1"/>
  <c r="H26" i="23"/>
  <c r="H27" i="23" s="1"/>
  <c r="H23" i="22"/>
  <c r="L4" i="30"/>
  <c r="H25" i="22" l="1"/>
  <c r="H26" i="25"/>
  <c r="H27" i="25" s="1"/>
  <c r="H26" i="22"/>
  <c r="F10" i="30"/>
  <c r="D10" i="30"/>
  <c r="D9" i="30"/>
  <c r="D8" i="30"/>
  <c r="D7" i="30"/>
  <c r="D6" i="30"/>
  <c r="D5" i="30"/>
  <c r="D4" i="30"/>
  <c r="D3" i="30"/>
  <c r="B10" i="30"/>
  <c r="A10" i="30"/>
  <c r="B9" i="30"/>
  <c r="A9" i="30"/>
  <c r="B8" i="30"/>
  <c r="A8" i="30"/>
  <c r="B7" i="30"/>
  <c r="A7" i="30"/>
  <c r="B6" i="30"/>
  <c r="A6" i="30"/>
  <c r="B5" i="30"/>
  <c r="A5" i="30"/>
  <c r="B4" i="30"/>
  <c r="A4" i="30"/>
  <c r="B3" i="30"/>
  <c r="A3" i="30"/>
  <c r="H28" i="22" l="1"/>
  <c r="G10" i="30"/>
  <c r="K10" i="30" s="1"/>
  <c r="M10" i="30" s="1"/>
  <c r="H12" i="28"/>
  <c r="N10" i="22"/>
  <c r="B10" i="28"/>
  <c r="B10" i="27"/>
  <c r="B10" i="26"/>
  <c r="B10" i="25"/>
  <c r="B10" i="24"/>
  <c r="B10" i="23"/>
  <c r="B10" i="22"/>
  <c r="E58" i="28"/>
  <c r="E42" i="28"/>
  <c r="B61" i="28"/>
  <c r="B45" i="28"/>
  <c r="B14" i="28"/>
  <c r="E59" i="27" l="1"/>
  <c r="E43" i="27"/>
  <c r="B46" i="27"/>
  <c r="B62" i="27"/>
  <c r="H12" i="27" l="1"/>
  <c r="F9" i="30"/>
  <c r="B14" i="27"/>
  <c r="G9" i="30" l="1"/>
  <c r="H9" i="30"/>
  <c r="E58" i="26"/>
  <c r="E42" i="26"/>
  <c r="B61" i="26"/>
  <c r="B45" i="26"/>
  <c r="K9" i="30" l="1"/>
  <c r="M9" i="30" s="1"/>
  <c r="H12" i="26"/>
  <c r="F8" i="30"/>
  <c r="B14" i="26"/>
  <c r="G8" i="30" l="1"/>
  <c r="H8" i="30"/>
  <c r="E58" i="25"/>
  <c r="E42" i="25"/>
  <c r="B45" i="25"/>
  <c r="B61" i="25"/>
  <c r="K8" i="30" l="1"/>
  <c r="M8" i="30" s="1"/>
  <c r="H12" i="25"/>
  <c r="F7" i="30"/>
  <c r="B14" i="25"/>
  <c r="G7" i="30" l="1"/>
  <c r="H7" i="30"/>
  <c r="E58" i="24"/>
  <c r="E42" i="24"/>
  <c r="B61" i="24"/>
  <c r="B45" i="24"/>
  <c r="K7" i="30" l="1"/>
  <c r="M7" i="30" s="1"/>
  <c r="H12" i="24"/>
  <c r="F6" i="30"/>
  <c r="B14" i="24"/>
  <c r="G6" i="30" l="1"/>
  <c r="H6" i="30"/>
  <c r="E58" i="23"/>
  <c r="E42" i="23"/>
  <c r="B61" i="23"/>
  <c r="B45" i="23"/>
  <c r="K6" i="30" l="1"/>
  <c r="M6" i="30" s="1"/>
  <c r="H12" i="23"/>
  <c r="F5" i="30"/>
  <c r="B14" i="23"/>
  <c r="G5" i="30" l="1"/>
  <c r="H5" i="30"/>
  <c r="E59" i="22"/>
  <c r="E43" i="22"/>
  <c r="B46" i="22"/>
  <c r="B62" i="22"/>
  <c r="K5" i="30" l="1"/>
  <c r="M5" i="30" s="1"/>
  <c r="H12" i="22"/>
  <c r="F4" i="30"/>
  <c r="B14" i="22"/>
  <c r="G4" i="30" l="1"/>
  <c r="H4" i="30"/>
  <c r="H20" i="20"/>
  <c r="H23" i="20"/>
  <c r="F3" i="30" l="1"/>
  <c r="F12" i="30" s="1"/>
  <c r="H26" i="20"/>
  <c r="H28" i="20" s="1"/>
  <c r="K4" i="30"/>
  <c r="M4" i="30" s="1"/>
  <c r="H21" i="20"/>
  <c r="G3" i="30" l="1"/>
  <c r="H3" i="30"/>
  <c r="H12" i="20"/>
  <c r="E59" i="20"/>
  <c r="E43" i="20"/>
  <c r="B62" i="20"/>
  <c r="B46" i="20"/>
  <c r="B14" i="20"/>
  <c r="K3" i="30" l="1"/>
  <c r="K12" i="30" s="1"/>
  <c r="M3" i="30"/>
  <c r="M12" i="30" s="1"/>
</calcChain>
</file>

<file path=xl/comments1.xml><?xml version="1.0" encoding="utf-8"?>
<comments xmlns="http://schemas.openxmlformats.org/spreadsheetml/2006/main">
  <authors>
    <author>carlos diaz</author>
  </authors>
  <commentList>
    <comment ref="F23" authorId="0" shapeId="0">
      <text>
        <r>
          <rPr>
            <sz val="9"/>
            <color indexed="81"/>
            <rFont val="Tahoma"/>
            <family val="2"/>
          </rPr>
          <t xml:space="preserve">contador Dice: SERÁ DEL 4% SI LO PONEMOS A DECLARAR
</t>
        </r>
      </text>
    </comment>
  </commentList>
</comments>
</file>

<file path=xl/comments2.xml><?xml version="1.0" encoding="utf-8"?>
<comments xmlns="http://schemas.openxmlformats.org/spreadsheetml/2006/main">
  <authors>
    <author>carlos diaz</author>
  </authors>
  <commentList>
    <comment ref="F23" authorId="0" shapeId="0">
      <text>
        <r>
          <rPr>
            <sz val="9"/>
            <color indexed="81"/>
            <rFont val="Tahoma"/>
            <family val="2"/>
          </rPr>
          <t xml:space="preserve">contador Dice: SERÁ DEL 4% SI LO PONEMOS A DECLARAR
</t>
        </r>
      </text>
    </comment>
  </commentList>
</comments>
</file>

<file path=xl/sharedStrings.xml><?xml version="1.0" encoding="utf-8"?>
<sst xmlns="http://schemas.openxmlformats.org/spreadsheetml/2006/main" count="750" uniqueCount="102">
  <si>
    <t>No.</t>
  </si>
  <si>
    <t>[42]</t>
  </si>
  <si>
    <t>RECIBO DE PAGO</t>
  </si>
  <si>
    <t xml:space="preserve">Cantidad </t>
  </si>
  <si>
    <t xml:space="preserve">Recibi de: </t>
  </si>
  <si>
    <t>[Nombre del Cliente]</t>
  </si>
  <si>
    <t xml:space="preserve">Concepto </t>
  </si>
  <si>
    <t>[escribir aquí la descripción]</t>
  </si>
  <si>
    <t xml:space="preserve">Fecha </t>
  </si>
  <si>
    <t>Forma de pago</t>
  </si>
  <si>
    <t xml:space="preserve"> Efectivo</t>
  </si>
  <si>
    <t xml:space="preserve"> Cheque No.</t>
  </si>
  <si>
    <t>Transferencia</t>
  </si>
  <si>
    <t>Recibido por:</t>
  </si>
  <si>
    <t>[Nombre]</t>
  </si>
  <si>
    <t>[Domicilio]</t>
  </si>
  <si>
    <t>[Teléfono]</t>
  </si>
  <si>
    <t>[  x]</t>
  </si>
  <si>
    <t>[   ]</t>
  </si>
  <si>
    <t>Beneficiario</t>
  </si>
  <si>
    <t xml:space="preserve">Fecha: </t>
  </si>
  <si>
    <t>TESORERIA</t>
  </si>
  <si>
    <t>Recibí__________________________________________ C.C.No. ________________________de_________________</t>
  </si>
  <si>
    <t>ORDENADOR DEL GASTO</t>
  </si>
  <si>
    <t>JUAN CARLOS EPINAYU URIANA</t>
  </si>
  <si>
    <t>Representante Legal Asociacion Aleewashii</t>
  </si>
  <si>
    <t xml:space="preserve">ASOCIACION  DE  AUTORIDADES  TRADICIONALES  INDIGENAS  WAYUU </t>
  </si>
  <si>
    <t xml:space="preserve">ALEEWASHII </t>
  </si>
  <si>
    <t xml:space="preserve">NIT. 900919502-6 </t>
  </si>
  <si>
    <t>RESOLUCION: N0 0059 DEL 12 DE JUNIO DEL 2015 D.G.A.I.</t>
  </si>
  <si>
    <t xml:space="preserve">MINISTERIO DEL INTERIOR  </t>
  </si>
  <si>
    <t>Dirección: Carera 16 No. 6A-27 Maicao-La Guajira</t>
  </si>
  <si>
    <t>CEL: 311-574-3462 ;  300-297-5394;; email: asociacionindigenalewashii@gmail.com</t>
  </si>
  <si>
    <t>FILIAL A LA ONIC –ORGANIZACIÓN NACIONAL DE INDIGENA DE COLOMBIA</t>
  </si>
  <si>
    <t>PÁGUESE</t>
  </si>
  <si>
    <t>Cedula-Nit</t>
  </si>
  <si>
    <t xml:space="preserve">Menos Abonos o Pagos Efectuados </t>
  </si>
  <si>
    <t xml:space="preserve">Mas  IVA </t>
  </si>
  <si>
    <t xml:space="preserve">Expedida en: </t>
  </si>
  <si>
    <t>Banco :</t>
  </si>
  <si>
    <t>Efectivo</t>
  </si>
  <si>
    <t>Cheque No.</t>
  </si>
  <si>
    <t>Valor  del pago sin incluir  IVA :</t>
  </si>
  <si>
    <t>Retencion en la Fuente por Honorarios PNND</t>
  </si>
  <si>
    <t>X</t>
  </si>
  <si>
    <t xml:space="preserve">JONATÁN DAVID WILCHES JULIO </t>
  </si>
  <si>
    <t>Riohacha</t>
  </si>
  <si>
    <t xml:space="preserve">HEIDIS EPIEYU GIRNU </t>
  </si>
  <si>
    <t>Maicao</t>
  </si>
  <si>
    <t xml:space="preserve">VICTOR  EPINAYU </t>
  </si>
  <si>
    <t xml:space="preserve">RAFAEL SANTOS EPINAYU URIANA </t>
  </si>
  <si>
    <t>LAILA GONZALEZ OÑATE</t>
  </si>
  <si>
    <t>VALLEDUPAR</t>
  </si>
  <si>
    <t xml:space="preserve">ROSA ELENA URIANA GOMEZ </t>
  </si>
  <si>
    <t xml:space="preserve">ELOHA JOSE DIAZ MARTINEZ </t>
  </si>
  <si>
    <t xml:space="preserve">OCTAVIO RAFAEL OÑATE GOMEZ </t>
  </si>
  <si>
    <t>Valledupar</t>
  </si>
  <si>
    <t xml:space="preserve">    COMPROBANTE  DE  PAGO  No. </t>
  </si>
  <si>
    <t>05-23-01</t>
  </si>
  <si>
    <t>NOMBRES Y APELLIDOS</t>
  </si>
  <si>
    <t>C.C. No</t>
  </si>
  <si>
    <t>PAGO POR SERVICIOS</t>
  </si>
  <si>
    <t>VALOR NETO POR SERVICIOS</t>
  </si>
  <si>
    <t>VALOR TOTAL A PAGAR</t>
  </si>
  <si>
    <t>HONORARIOS</t>
  </si>
  <si>
    <t>SERVICIOS</t>
  </si>
  <si>
    <t>BONIFICACIONES PARA COMPRAS</t>
  </si>
  <si>
    <t>RETENCION EN LA FUENTE( Para Pagar a la Dian)</t>
  </si>
  <si>
    <t>TOTALES</t>
  </si>
  <si>
    <t>Reconocimiento para Pago de Seguridad Social</t>
  </si>
  <si>
    <t>Compensacion para compras  y/o mercados</t>
  </si>
  <si>
    <t>Valor Total  a Cancelar</t>
  </si>
  <si>
    <t>Valor Total del Pago por Servicios Prestados</t>
  </si>
  <si>
    <t>s.s.</t>
  </si>
  <si>
    <t>OTROS</t>
  </si>
  <si>
    <t>OTROS (Viaticos Transporte)</t>
  </si>
  <si>
    <t>OTROS( Viaticos transporte hacer trabajo con Ambiental en Uribia)</t>
  </si>
  <si>
    <t>OTROS( Viaticos de Transporte desde Riohacha)</t>
  </si>
  <si>
    <t>Retencion en la Fuente por (Servicios)  PNND</t>
  </si>
  <si>
    <t>COMPROBANTE No.</t>
  </si>
  <si>
    <t>VALOR BRUTO CANCELADO</t>
  </si>
  <si>
    <t>PAGO TOTAL  ETAPA DE TRES, POR ACOMPAÑAMIENTOS COMO INGENIERO AMBIENTAL  A LAS COMUNIDADES DE WARUTTAMANA Y SHONKAMANA, EN EL PROCESO CONSULTIVO SENTENCIA T-704 de 2016, CON EL CERREJON</t>
  </si>
  <si>
    <t>PAGO TOTAL  ETAPA DE TRES, POR ACOMPAÑAMIENTOS COMO PSICOSOCIAL   A LAS COMUNIDADES DE WARUTTAMANA Y SHONKAMANA, EN EL PROCESO CONSULTIVO SENTENCIA T-704 de 2016, CON EL CERREJON</t>
  </si>
  <si>
    <t>TERCER PAGO FINAL (35%) DEL TOTAL,  POR ACOMPAÑAMIENTOS COMO  SABEDOR ANCESTRAL   A LAS COMUNIDADES DE WARUTTAMANA Y SHONKAMANA, EN EL PROCESO CONSULTIVO SENTENCIA T-704 de 2016, CON EL CERREJON</t>
  </si>
  <si>
    <t>TERCER  PAGO FINAL (35%) DEL TOTAL,  POR ACOMPAÑAMIENTOS COMO  DINAMIZADOR SOCIAL   A LAS COMUNIDADES DE WARUTTAMANA Y SHONKAMANA, EN EL PROCESO CONSULTIVO SENTENCIA T-704 de 2016, CON EL CERREJON</t>
  </si>
  <si>
    <t>TERCER  PAGO FINAL (35%) DEL TOTAL,  POR  SERVICIOS CONTABLES ,CON CARGO , EN EL PROCESO CONSULTIVO SENTENCIA T-704 de 2016, CON EL CERREJON</t>
  </si>
  <si>
    <t>TERCER PAGO FINAL (35%) DEL TOTAL,  POR  SERVICIOS  COMO AUXILIAR ADMINISTRATIVO ,CON CARGO , EN EL PROCESO CONSULTIVO SENTENCIA T-704 de 2016, CON EL CERREJON</t>
  </si>
  <si>
    <t>TERCER   PAGO FINAL (35%) DEL TOTAL,  POR  SERVICIOS  COMO  PROFESIONAL JURIDICO ,CON CARGO , EN EL PROCESO CONSULTIVO SENTENCIA T-704 de 2016, CON EL CERREJON</t>
  </si>
  <si>
    <t>CARLOS ALBERTO DIAZ CARRILLO</t>
  </si>
  <si>
    <t>Cartagena</t>
  </si>
  <si>
    <t>08-23-01</t>
  </si>
  <si>
    <t>16 de Agosto de 2023</t>
  </si>
  <si>
    <t>TERCER PAGO FINAL HASTA EL  DIA DE HOY AGOSTO  16  DE 2023, POR ACOMPAÑAMIENTOS Y TRANSPORTE DE PERSONAL ASESORES Y VARIOS  A LAS COMUNIDADES DE WARUTTAMANA Y SHONKAMANA, EN EL PROCESO CONSULTIVO SENTENCIA T-704 de 2016, CON EL CERREJON</t>
  </si>
  <si>
    <t>08-23-02</t>
  </si>
  <si>
    <t>08-23-03</t>
  </si>
  <si>
    <t>08-23-04</t>
  </si>
  <si>
    <t>08-23-05</t>
  </si>
  <si>
    <t>08-23-06</t>
  </si>
  <si>
    <t>08-23-07</t>
  </si>
  <si>
    <t>08-23-08</t>
  </si>
  <si>
    <t>TERCER PAGO FINAL HASTA EL  DIA DE HOY AGOSTO  16  DE 2023, POR ACOMPAÑAMIENTOS Y  ASESORIES Y VARIOS  A LAS COMUNIDADES DE WARUTTAMANA Y SHONKAMANA, EN EL PROCESO CONSULTIVO SENTENCIA T-704 de 2016, CON EL CERREJON</t>
  </si>
  <si>
    <t>08-23-09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</si>
</sst>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2" formatCode="_(&quot;$&quot;\ * #,##0_);_(&quot;$&quot;\ * \(#,##0\);_(&quot;$&quot;\ * &quot;-&quot;_);_(@_)"/>
    <numFmt numFmtId="43" formatCode="_(* #,##0.00_);_(* \(#,##0.00\);_(* &quot;-&quot;??_);_(@_)"/>
    <numFmt numFmtId="164" formatCode="_-&quot;$&quot;* #,##0.00_-;\-&quot;$&quot;* #,##0.00_-;_-&quot;$&quot;* &quot;-&quot;??_-;_-@_-"/>
    <numFmt numFmtId="165" formatCode="_(&quot;$&quot;* #,##0.00_);_(&quot;$&quot;* \(#,##0.00\);_(&quot;$&quot;* &quot;-&quot;??_);_(@_)"/>
    <numFmt numFmtId="166" formatCode="_(&quot;$&quot;* #,##0.00_);_(&quot;$&quot;* \(#,##0.00\);_(&quot;$&quot;* &quot;&quot;??_);_(@_)"/>
    <numFmt numFmtId="167" formatCode="[$-F800]dddd\,\ mmmm\ dd\,\ yyyy"/>
  </numFmts>
  <fonts count="52" x14ac:knownFonts="1"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36"/>
      <name val="Calibri"/>
      <family val="2"/>
    </font>
    <font>
      <b/>
      <sz val="11"/>
      <color indexed="50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18"/>
      <name val="Calibri"/>
      <family val="2"/>
    </font>
    <font>
      <b/>
      <sz val="13"/>
      <color indexed="18"/>
      <name val="Calibri"/>
      <family val="2"/>
    </font>
    <font>
      <b/>
      <sz val="11"/>
      <color indexed="18"/>
      <name val="Calibri"/>
      <family val="2"/>
    </font>
    <font>
      <sz val="11"/>
      <color indexed="53"/>
      <name val="Calibri"/>
      <family val="2"/>
    </font>
    <font>
      <sz val="11"/>
      <color indexed="50"/>
      <name val="Calibri"/>
      <family val="2"/>
    </font>
    <font>
      <sz val="11"/>
      <color indexed="59"/>
      <name val="Calibri"/>
      <family val="2"/>
    </font>
    <font>
      <b/>
      <sz val="11"/>
      <color indexed="63"/>
      <name val="Calibri"/>
      <family val="2"/>
    </font>
    <font>
      <b/>
      <sz val="18"/>
      <color indexed="18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name val="Arial"/>
      <family val="2"/>
    </font>
    <font>
      <b/>
      <sz val="11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9"/>
      <name val="Arial"/>
      <family val="2"/>
    </font>
    <font>
      <i/>
      <sz val="10"/>
      <name val="Arial"/>
      <family val="2"/>
    </font>
    <font>
      <sz val="8"/>
      <color indexed="23"/>
      <name val="Arial"/>
      <family val="2"/>
    </font>
    <font>
      <b/>
      <sz val="24"/>
      <color theme="4"/>
      <name val="Arial"/>
      <family val="2"/>
    </font>
    <font>
      <u/>
      <sz val="10"/>
      <color indexed="12"/>
      <name val="Arial"/>
      <family val="2"/>
    </font>
    <font>
      <b/>
      <sz val="24"/>
      <color rgb="FF00B050"/>
      <name val="Arial"/>
      <family val="2"/>
    </font>
    <font>
      <sz val="18"/>
      <name val="Arial"/>
      <family val="2"/>
    </font>
    <font>
      <b/>
      <sz val="12"/>
      <color theme="6" tint="-0.249977111117893"/>
      <name val="Arial"/>
      <family val="2"/>
    </font>
    <font>
      <b/>
      <sz val="10"/>
      <name val="Arial"/>
      <family val="2"/>
    </font>
    <font>
      <b/>
      <sz val="16"/>
      <name val="Arial Black"/>
      <family val="2"/>
    </font>
    <font>
      <sz val="10"/>
      <name val="Trebuchet MS"/>
      <family val="2"/>
      <scheme val="minor"/>
    </font>
    <font>
      <b/>
      <sz val="12"/>
      <name val="Calibri"/>
      <family val="2"/>
    </font>
    <font>
      <b/>
      <sz val="14"/>
      <name val="Calibri"/>
      <family val="2"/>
    </font>
    <font>
      <sz val="11"/>
      <name val="Calibri"/>
      <family val="2"/>
    </font>
    <font>
      <u/>
      <sz val="14"/>
      <color theme="10"/>
      <name val="Calibri"/>
      <family val="2"/>
    </font>
    <font>
      <b/>
      <i/>
      <sz val="11"/>
      <name val="Calibri"/>
      <family val="2"/>
    </font>
    <font>
      <sz val="14"/>
      <color rgb="FFFF0000"/>
      <name val="Arial"/>
      <family val="2"/>
    </font>
    <font>
      <b/>
      <sz val="12"/>
      <color rgb="FFFF0000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Arial"/>
      <family val="2"/>
    </font>
    <font>
      <b/>
      <sz val="10"/>
      <color rgb="FFFF0000"/>
      <name val="Arial"/>
      <family val="2"/>
    </font>
    <font>
      <b/>
      <sz val="14"/>
      <color rgb="FFFF0000"/>
      <name val="Arial"/>
      <family val="2"/>
    </font>
    <font>
      <sz val="9"/>
      <color indexed="81"/>
      <name val="Tahoma"/>
      <family val="2"/>
    </font>
  </fonts>
  <fills count="23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46"/>
      </patternFill>
    </fill>
    <fill>
      <patternFill patternType="solid">
        <fgColor indexed="41"/>
      </patternFill>
    </fill>
    <fill>
      <patternFill patternType="solid">
        <fgColor indexed="26"/>
      </patternFill>
    </fill>
    <fill>
      <patternFill patternType="solid">
        <fgColor indexed="51"/>
      </patternFill>
    </fill>
    <fill>
      <patternFill patternType="solid">
        <fgColor indexed="61"/>
      </patternFill>
    </fill>
    <fill>
      <patternFill patternType="solid">
        <fgColor indexed="52"/>
      </patternFill>
    </fill>
    <fill>
      <patternFill patternType="solid">
        <fgColor indexed="20"/>
      </patternFill>
    </fill>
    <fill>
      <patternFill patternType="solid">
        <fgColor indexed="40"/>
      </patternFill>
    </fill>
    <fill>
      <patternFill patternType="solid">
        <fgColor indexed="29"/>
      </patternFill>
    </fill>
    <fill>
      <patternFill patternType="solid">
        <fgColor indexed="14"/>
      </patternFill>
    </fill>
    <fill>
      <patternFill patternType="solid">
        <fgColor indexed="23"/>
      </patternFill>
    </fill>
    <fill>
      <patternFill patternType="solid">
        <fgColor indexed="15"/>
      </patternFill>
    </fill>
    <fill>
      <patternFill patternType="solid">
        <fgColor indexed="10"/>
      </patternFill>
    </fill>
    <fill>
      <patternFill patternType="solid">
        <fgColor indexed="45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5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0"/>
      </bottom>
      <diagonal/>
    </border>
    <border>
      <left/>
      <right/>
      <top/>
      <bottom style="thick">
        <color indexed="51"/>
      </bottom>
      <diagonal/>
    </border>
    <border>
      <left/>
      <right/>
      <top/>
      <bottom style="medium">
        <color indexed="52"/>
      </bottom>
      <diagonal/>
    </border>
    <border>
      <left/>
      <right/>
      <top/>
      <bottom style="double">
        <color indexed="5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0"/>
      </top>
      <bottom style="double">
        <color indexed="40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/>
      <right style="thin">
        <color auto="1"/>
      </right>
      <top style="double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45">
    <xf numFmtId="0" fontId="0" fillId="0" borderId="0"/>
    <xf numFmtId="0" fontId="5" fillId="2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2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6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9" borderId="0" applyNumberFormat="0" applyBorder="0" applyAlignment="0" applyProtection="0"/>
    <xf numFmtId="0" fontId="6" fillId="8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0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7" fillId="16" borderId="0" applyNumberFormat="0" applyBorder="0" applyAlignment="0" applyProtection="0"/>
    <xf numFmtId="0" fontId="8" fillId="17" borderId="1" applyNumberFormat="0" applyAlignment="0" applyProtection="0"/>
    <xf numFmtId="0" fontId="9" fillId="18" borderId="2" applyNumberFormat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1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30" fillId="0" borderId="0" applyNumberFormat="0" applyFill="0" applyBorder="0" applyAlignment="0" applyProtection="0">
      <alignment vertical="top"/>
      <protection locked="0"/>
    </xf>
    <xf numFmtId="0" fontId="15" fillId="11" borderId="1" applyNumberFormat="0" applyAlignment="0" applyProtection="0"/>
    <xf numFmtId="0" fontId="16" fillId="0" borderId="6" applyNumberFormat="0" applyFill="0" applyAlignment="0" applyProtection="0"/>
    <xf numFmtId="0" fontId="17" fillId="5" borderId="0" applyNumberFormat="0" applyBorder="0" applyAlignment="0" applyProtection="0"/>
    <xf numFmtId="0" fontId="2" fillId="5" borderId="7" applyNumberFormat="0" applyFont="0" applyAlignment="0" applyProtection="0"/>
    <xf numFmtId="0" fontId="18" fillId="17" borderId="8" applyNumberFormat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</cellStyleXfs>
  <cellXfs count="186">
    <xf numFmtId="0" fontId="0" fillId="0" borderId="0" xfId="0"/>
    <xf numFmtId="0" fontId="22" fillId="0" borderId="14" xfId="0" applyFont="1" applyBorder="1" applyAlignment="1" applyProtection="1">
      <alignment horizontal="left"/>
      <protection locked="0"/>
    </xf>
    <xf numFmtId="0" fontId="23" fillId="0" borderId="14" xfId="0" applyFont="1" applyBorder="1" applyAlignment="1" applyProtection="1">
      <alignment horizontal="right"/>
      <protection locked="0"/>
    </xf>
    <xf numFmtId="166" fontId="3" fillId="0" borderId="14" xfId="29" applyNumberFormat="1" applyFont="1" applyBorder="1" applyAlignment="1" applyProtection="1">
      <alignment horizontal="left" vertical="center"/>
      <protection locked="0"/>
    </xf>
    <xf numFmtId="0" fontId="22" fillId="0" borderId="0" xfId="0" applyFont="1" applyBorder="1" applyAlignment="1" applyProtection="1">
      <alignment horizontal="left" vertical="top"/>
      <protection locked="0"/>
    </xf>
    <xf numFmtId="10" fontId="23" fillId="0" borderId="0" xfId="0" applyNumberFormat="1" applyFont="1" applyBorder="1" applyAlignment="1" applyProtection="1">
      <alignment shrinkToFit="1"/>
      <protection locked="0"/>
    </xf>
    <xf numFmtId="0" fontId="23" fillId="0" borderId="12" xfId="0" applyFont="1" applyBorder="1" applyAlignment="1" applyProtection="1">
      <alignment horizontal="right" shrinkToFit="1"/>
      <protection locked="0"/>
    </xf>
    <xf numFmtId="0" fontId="22" fillId="0" borderId="0" xfId="0" applyFont="1" applyBorder="1" applyAlignment="1" applyProtection="1">
      <alignment horizontal="left"/>
      <protection locked="0"/>
    </xf>
    <xf numFmtId="0" fontId="22" fillId="0" borderId="0" xfId="0" applyFont="1" applyBorder="1" applyProtection="1">
      <protection locked="0"/>
    </xf>
    <xf numFmtId="0" fontId="26" fillId="0" borderId="0" xfId="0" applyFont="1" applyBorder="1" applyAlignment="1" applyProtection="1">
      <alignment horizontal="right"/>
      <protection locked="0"/>
    </xf>
    <xf numFmtId="0" fontId="0" fillId="0" borderId="0" xfId="0" applyFont="1" applyBorder="1" applyAlignment="1" applyProtection="1">
      <alignment horizontal="center"/>
      <protection locked="0"/>
    </xf>
    <xf numFmtId="0" fontId="0" fillId="0" borderId="0" xfId="0" applyFont="1" applyBorder="1" applyAlignment="1" applyProtection="1">
      <protection locked="0"/>
    </xf>
    <xf numFmtId="0" fontId="0" fillId="0" borderId="0" xfId="0" applyFont="1" applyBorder="1" applyProtection="1">
      <protection locked="0"/>
    </xf>
    <xf numFmtId="14" fontId="23" fillId="0" borderId="11" xfId="0" applyNumberFormat="1" applyFont="1" applyBorder="1" applyAlignment="1" applyProtection="1">
      <alignment horizontal="right"/>
      <protection locked="0"/>
    </xf>
    <xf numFmtId="0" fontId="0" fillId="0" borderId="0" xfId="0" applyFont="1" applyProtection="1">
      <protection locked="0"/>
    </xf>
    <xf numFmtId="0" fontId="22" fillId="0" borderId="12" xfId="0" applyFont="1" applyBorder="1" applyProtection="1">
      <protection locked="0"/>
    </xf>
    <xf numFmtId="0" fontId="22" fillId="0" borderId="13" xfId="0" applyFont="1" applyBorder="1" applyProtection="1">
      <protection locked="0"/>
    </xf>
    <xf numFmtId="0" fontId="22" fillId="0" borderId="0" xfId="0" applyFont="1" applyProtection="1">
      <protection locked="0"/>
    </xf>
    <xf numFmtId="0" fontId="24" fillId="0" borderId="0" xfId="28" applyNumberFormat="1" applyFont="1" applyFill="1" applyAlignment="1" applyProtection="1">
      <alignment horizontal="left"/>
      <protection locked="0"/>
    </xf>
    <xf numFmtId="166" fontId="23" fillId="0" borderId="13" xfId="29" applyNumberFormat="1" applyFont="1" applyBorder="1" applyAlignment="1" applyProtection="1">
      <alignment horizontal="left"/>
      <protection locked="0"/>
    </xf>
    <xf numFmtId="0" fontId="4" fillId="0" borderId="12" xfId="0" applyFont="1" applyBorder="1" applyAlignment="1" applyProtection="1">
      <alignment horizontal="right"/>
      <protection locked="0"/>
    </xf>
    <xf numFmtId="0" fontId="22" fillId="0" borderId="13" xfId="0" applyFont="1" applyBorder="1" applyAlignment="1" applyProtection="1">
      <alignment horizontal="right"/>
      <protection locked="0"/>
    </xf>
    <xf numFmtId="0" fontId="23" fillId="0" borderId="0" xfId="0" applyFont="1" applyBorder="1" applyAlignment="1" applyProtection="1">
      <alignment shrinkToFit="1"/>
      <protection locked="0"/>
    </xf>
    <xf numFmtId="0" fontId="35" fillId="21" borderId="0" xfId="0" applyFont="1" applyFill="1" applyBorder="1" applyAlignment="1" applyProtection="1">
      <alignment horizontal="center"/>
      <protection locked="0"/>
    </xf>
    <xf numFmtId="0" fontId="36" fillId="0" borderId="0" xfId="0" applyFont="1" applyBorder="1" applyAlignment="1" applyProtection="1">
      <alignment horizontal="left" vertical="top" indent="1"/>
      <protection locked="0"/>
    </xf>
    <xf numFmtId="0" fontId="35" fillId="21" borderId="14" xfId="0" applyFont="1" applyFill="1" applyBorder="1" applyAlignment="1" applyProtection="1">
      <alignment horizontal="center"/>
      <protection locked="0"/>
    </xf>
    <xf numFmtId="0" fontId="28" fillId="0" borderId="17" xfId="0" applyFont="1" applyBorder="1" applyProtection="1">
      <protection locked="0"/>
    </xf>
    <xf numFmtId="0" fontId="22" fillId="0" borderId="15" xfId="0" applyFont="1" applyBorder="1" applyProtection="1">
      <protection locked="0"/>
    </xf>
    <xf numFmtId="0" fontId="22" fillId="0" borderId="16" xfId="0" applyFont="1" applyBorder="1" applyProtection="1">
      <protection locked="0"/>
    </xf>
    <xf numFmtId="0" fontId="24" fillId="0" borderId="0" xfId="0" applyFont="1" applyAlignment="1" applyProtection="1">
      <alignment horizontal="right"/>
      <protection locked="0"/>
    </xf>
    <xf numFmtId="0" fontId="31" fillId="0" borderId="21" xfId="0" applyFont="1" applyBorder="1" applyAlignment="1" applyProtection="1">
      <protection locked="0"/>
    </xf>
    <xf numFmtId="0" fontId="29" fillId="0" borderId="10" xfId="0" applyFont="1" applyBorder="1" applyAlignment="1" applyProtection="1">
      <protection locked="0"/>
    </xf>
    <xf numFmtId="0" fontId="22" fillId="0" borderId="10" xfId="0" applyFont="1" applyBorder="1" applyAlignment="1" applyProtection="1">
      <alignment horizontal="right"/>
      <protection locked="0"/>
    </xf>
    <xf numFmtId="14" fontId="22" fillId="0" borderId="22" xfId="0" applyNumberFormat="1" applyFont="1" applyBorder="1" applyAlignment="1" applyProtection="1">
      <protection locked="0"/>
    </xf>
    <xf numFmtId="0" fontId="22" fillId="0" borderId="22" xfId="0" applyNumberFormat="1" applyFont="1" applyBorder="1" applyAlignment="1" applyProtection="1">
      <protection locked="0"/>
    </xf>
    <xf numFmtId="0" fontId="25" fillId="0" borderId="12" xfId="0" applyFont="1" applyBorder="1" applyAlignment="1" applyProtection="1">
      <alignment horizontal="right"/>
      <protection locked="0"/>
    </xf>
    <xf numFmtId="0" fontId="24" fillId="0" borderId="0" xfId="0" applyFont="1" applyBorder="1" applyAlignment="1" applyProtection="1">
      <alignment horizontal="center"/>
      <protection locked="0"/>
    </xf>
    <xf numFmtId="0" fontId="25" fillId="0" borderId="0" xfId="0" applyFont="1" applyBorder="1" applyAlignment="1" applyProtection="1">
      <alignment horizontal="center"/>
      <protection locked="0"/>
    </xf>
    <xf numFmtId="0" fontId="22" fillId="0" borderId="0" xfId="0" applyFont="1" applyBorder="1" applyAlignment="1" applyProtection="1">
      <alignment horizontal="right"/>
      <protection locked="0"/>
    </xf>
    <xf numFmtId="0" fontId="0" fillId="0" borderId="15" xfId="0" applyFont="1" applyBorder="1" applyAlignment="1" applyProtection="1">
      <alignment horizontal="left"/>
      <protection locked="0"/>
    </xf>
    <xf numFmtId="0" fontId="27" fillId="0" borderId="12" xfId="0" applyFont="1" applyBorder="1" applyAlignment="1" applyProtection="1">
      <alignment horizontal="center"/>
      <protection locked="0"/>
    </xf>
    <xf numFmtId="0" fontId="0" fillId="0" borderId="0" xfId="0" applyAlignment="1"/>
    <xf numFmtId="0" fontId="34" fillId="0" borderId="0" xfId="0" applyFont="1" applyAlignment="1">
      <alignment horizontal="center"/>
    </xf>
    <xf numFmtId="0" fontId="33" fillId="0" borderId="25" xfId="0" applyFont="1" applyBorder="1" applyAlignment="1" applyProtection="1">
      <alignment horizontal="right"/>
      <protection locked="0"/>
    </xf>
    <xf numFmtId="14" fontId="23" fillId="0" borderId="26" xfId="0" applyNumberFormat="1" applyFont="1" applyBorder="1" applyAlignment="1" applyProtection="1">
      <alignment horizontal="right"/>
      <protection locked="0"/>
    </xf>
    <xf numFmtId="0" fontId="22" fillId="0" borderId="25" xfId="0" applyFont="1" applyBorder="1" applyProtection="1">
      <protection locked="0"/>
    </xf>
    <xf numFmtId="0" fontId="22" fillId="0" borderId="26" xfId="0" applyFont="1" applyBorder="1" applyProtection="1">
      <protection locked="0"/>
    </xf>
    <xf numFmtId="0" fontId="4" fillId="0" borderId="25" xfId="0" applyFont="1" applyBorder="1" applyAlignment="1" applyProtection="1">
      <alignment horizontal="right" shrinkToFit="1"/>
      <protection locked="0"/>
    </xf>
    <xf numFmtId="166" fontId="23" fillId="0" borderId="26" xfId="29" applyNumberFormat="1" applyFont="1" applyBorder="1" applyAlignment="1" applyProtection="1">
      <alignment horizontal="left"/>
      <protection locked="0"/>
    </xf>
    <xf numFmtId="0" fontId="4" fillId="0" borderId="25" xfId="0" applyFont="1" applyBorder="1" applyAlignment="1" applyProtection="1">
      <alignment horizontal="right"/>
      <protection locked="0"/>
    </xf>
    <xf numFmtId="0" fontId="22" fillId="0" borderId="26" xfId="0" applyFont="1" applyBorder="1" applyAlignment="1" applyProtection="1">
      <alignment horizontal="right"/>
      <protection locked="0"/>
    </xf>
    <xf numFmtId="0" fontId="23" fillId="0" borderId="25" xfId="0" applyFont="1" applyBorder="1" applyAlignment="1" applyProtection="1">
      <alignment horizontal="right" shrinkToFit="1"/>
      <protection locked="0"/>
    </xf>
    <xf numFmtId="0" fontId="35" fillId="21" borderId="25" xfId="0" applyFont="1" applyFill="1" applyBorder="1" applyAlignment="1" applyProtection="1">
      <alignment horizontal="center"/>
      <protection locked="0"/>
    </xf>
    <xf numFmtId="0" fontId="35" fillId="21" borderId="26" xfId="0" applyFont="1" applyFill="1" applyBorder="1" applyAlignment="1" applyProtection="1">
      <alignment horizontal="center"/>
      <protection locked="0"/>
    </xf>
    <xf numFmtId="0" fontId="28" fillId="0" borderId="27" xfId="0" applyFont="1" applyBorder="1" applyProtection="1">
      <protection locked="0"/>
    </xf>
    <xf numFmtId="0" fontId="22" fillId="0" borderId="28" xfId="0" applyFont="1" applyBorder="1" applyProtection="1">
      <protection locked="0"/>
    </xf>
    <xf numFmtId="0" fontId="22" fillId="0" borderId="29" xfId="0" applyFont="1" applyBorder="1" applyProtection="1">
      <protection locked="0"/>
    </xf>
    <xf numFmtId="0" fontId="39" fillId="0" borderId="0" xfId="0" applyFont="1" applyAlignment="1">
      <alignment vertical="center"/>
    </xf>
    <xf numFmtId="0" fontId="0" fillId="0" borderId="0" xfId="0" applyBorder="1" applyAlignment="1"/>
    <xf numFmtId="0" fontId="34" fillId="0" borderId="0" xfId="0" applyFont="1" applyAlignment="1"/>
    <xf numFmtId="0" fontId="34" fillId="0" borderId="0" xfId="0" applyFont="1" applyBorder="1" applyAlignment="1"/>
    <xf numFmtId="0" fontId="1" fillId="0" borderId="0" xfId="0" applyFont="1" applyAlignment="1"/>
    <xf numFmtId="0" fontId="28" fillId="0" borderId="0" xfId="0" applyFont="1" applyBorder="1" applyProtection="1">
      <protection locked="0"/>
    </xf>
    <xf numFmtId="0" fontId="22" fillId="0" borderId="0" xfId="0" applyFont="1" applyBorder="1" applyAlignment="1" applyProtection="1">
      <alignment horizontal="left" vertical="top"/>
      <protection locked="0"/>
    </xf>
    <xf numFmtId="0" fontId="22" fillId="0" borderId="14" xfId="0" applyFont="1" applyBorder="1" applyAlignment="1" applyProtection="1">
      <alignment horizontal="left" vertical="center"/>
      <protection locked="0"/>
    </xf>
    <xf numFmtId="0" fontId="22" fillId="0" borderId="32" xfId="0" applyFont="1" applyBorder="1" applyAlignment="1" applyProtection="1">
      <alignment horizontal="left" vertical="center" wrapText="1" shrinkToFit="1"/>
      <protection locked="0"/>
    </xf>
    <xf numFmtId="0" fontId="22" fillId="0" borderId="14" xfId="0" applyFont="1" applyBorder="1" applyAlignment="1" applyProtection="1">
      <alignment horizontal="left"/>
      <protection locked="0"/>
    </xf>
    <xf numFmtId="0" fontId="22" fillId="0" borderId="0" xfId="0" applyFont="1" applyBorder="1" applyAlignment="1" applyProtection="1">
      <alignment horizontal="right"/>
      <protection locked="0"/>
    </xf>
    <xf numFmtId="0" fontId="35" fillId="21" borderId="25" xfId="0" applyFont="1" applyFill="1" applyBorder="1" applyAlignment="1" applyProtection="1">
      <alignment horizontal="center"/>
      <protection locked="0"/>
    </xf>
    <xf numFmtId="0" fontId="35" fillId="21" borderId="0" xfId="0" applyFont="1" applyFill="1" applyBorder="1" applyAlignment="1" applyProtection="1">
      <alignment horizontal="center"/>
      <protection locked="0"/>
    </xf>
    <xf numFmtId="0" fontId="35" fillId="21" borderId="26" xfId="0" applyFont="1" applyFill="1" applyBorder="1" applyAlignment="1" applyProtection="1">
      <alignment horizontal="center"/>
      <protection locked="0"/>
    </xf>
    <xf numFmtId="0" fontId="22" fillId="0" borderId="10" xfId="0" applyFont="1" applyBorder="1" applyAlignment="1" applyProtection="1">
      <alignment horizontal="right"/>
      <protection locked="0"/>
    </xf>
    <xf numFmtId="0" fontId="23" fillId="0" borderId="0" xfId="0" applyFont="1"/>
    <xf numFmtId="0" fontId="22" fillId="0" borderId="0" xfId="0" applyFont="1"/>
    <xf numFmtId="0" fontId="31" fillId="0" borderId="31" xfId="0" applyFont="1" applyBorder="1" applyAlignment="1" applyProtection="1">
      <protection locked="0"/>
    </xf>
    <xf numFmtId="0" fontId="31" fillId="0" borderId="23" xfId="0" applyFont="1" applyBorder="1" applyAlignment="1" applyProtection="1">
      <protection locked="0"/>
    </xf>
    <xf numFmtId="42" fontId="0" fillId="0" borderId="0" xfId="0" applyNumberFormat="1"/>
    <xf numFmtId="0" fontId="0" fillId="0" borderId="38" xfId="0" applyBorder="1" applyAlignment="1">
      <alignment horizontal="center" vertical="center" wrapText="1"/>
    </xf>
    <xf numFmtId="42" fontId="0" fillId="0" borderId="37" xfId="0" applyNumberFormat="1" applyBorder="1"/>
    <xf numFmtId="0" fontId="4" fillId="0" borderId="39" xfId="0" applyFont="1" applyBorder="1" applyAlignment="1">
      <alignment vertical="center"/>
    </xf>
    <xf numFmtId="0" fontId="0" fillId="0" borderId="40" xfId="0" applyBorder="1" applyAlignment="1">
      <alignment horizontal="center" vertical="center"/>
    </xf>
    <xf numFmtId="0" fontId="0" fillId="0" borderId="40" xfId="0" applyBorder="1"/>
    <xf numFmtId="0" fontId="4" fillId="0" borderId="35" xfId="0" applyFont="1" applyBorder="1" applyAlignment="1">
      <alignment horizontal="center" vertical="center" wrapText="1"/>
    </xf>
    <xf numFmtId="0" fontId="46" fillId="0" borderId="0" xfId="0" applyFont="1" applyAlignment="1">
      <alignment horizontal="center" vertical="center"/>
    </xf>
    <xf numFmtId="42" fontId="0" fillId="22" borderId="0" xfId="0" applyNumberFormat="1" applyFill="1"/>
    <xf numFmtId="42" fontId="47" fillId="0" borderId="37" xfId="0" applyNumberFormat="1" applyFont="1" applyBorder="1"/>
    <xf numFmtId="42" fontId="48" fillId="0" borderId="40" xfId="0" applyNumberFormat="1" applyFont="1" applyBorder="1"/>
    <xf numFmtId="42" fontId="49" fillId="0" borderId="37" xfId="0" applyNumberFormat="1" applyFont="1" applyBorder="1"/>
    <xf numFmtId="42" fontId="48" fillId="0" borderId="41" xfId="0" applyNumberFormat="1" applyFont="1" applyBorder="1"/>
    <xf numFmtId="42" fontId="49" fillId="22" borderId="38" xfId="0" applyNumberFormat="1" applyFont="1" applyFill="1" applyBorder="1"/>
    <xf numFmtId="42" fontId="49" fillId="0" borderId="38" xfId="0" applyNumberFormat="1" applyFont="1" applyBorder="1"/>
    <xf numFmtId="0" fontId="49" fillId="0" borderId="36" xfId="0" applyFont="1" applyBorder="1" applyAlignment="1">
      <alignment vertical="center"/>
    </xf>
    <xf numFmtId="3" fontId="49" fillId="0" borderId="37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22" fillId="0" borderId="0" xfId="0" applyFont="1" applyBorder="1" applyAlignment="1" applyProtection="1">
      <alignment horizontal="right"/>
      <protection locked="0"/>
    </xf>
    <xf numFmtId="0" fontId="22" fillId="0" borderId="10" xfId="0" applyFont="1" applyBorder="1" applyAlignment="1" applyProtection="1">
      <alignment horizontal="right"/>
      <protection locked="0"/>
    </xf>
    <xf numFmtId="0" fontId="22" fillId="0" borderId="14" xfId="0" applyFont="1" applyBorder="1" applyAlignment="1" applyProtection="1">
      <alignment horizontal="left"/>
      <protection locked="0"/>
    </xf>
    <xf numFmtId="0" fontId="35" fillId="21" borderId="25" xfId="0" applyFont="1" applyFill="1" applyBorder="1" applyAlignment="1" applyProtection="1">
      <alignment horizontal="center"/>
      <protection locked="0"/>
    </xf>
    <xf numFmtId="0" fontId="35" fillId="21" borderId="0" xfId="0" applyFont="1" applyFill="1" applyBorder="1" applyAlignment="1" applyProtection="1">
      <alignment horizontal="center"/>
      <protection locked="0"/>
    </xf>
    <xf numFmtId="0" fontId="35" fillId="21" borderId="26" xfId="0" applyFont="1" applyFill="1" applyBorder="1" applyAlignment="1" applyProtection="1">
      <alignment horizontal="center"/>
      <protection locked="0"/>
    </xf>
    <xf numFmtId="42" fontId="45" fillId="0" borderId="0" xfId="0" applyNumberFormat="1" applyFont="1"/>
    <xf numFmtId="0" fontId="49" fillId="0" borderId="44" xfId="0" applyFont="1" applyBorder="1" applyAlignment="1">
      <alignment vertical="center"/>
    </xf>
    <xf numFmtId="3" fontId="49" fillId="0" borderId="45" xfId="0" applyNumberFormat="1" applyFont="1" applyBorder="1" applyAlignment="1">
      <alignment horizontal="center" vertical="center"/>
    </xf>
    <xf numFmtId="42" fontId="49" fillId="0" borderId="45" xfId="0" applyNumberFormat="1" applyFont="1" applyBorder="1"/>
    <xf numFmtId="42" fontId="0" fillId="0" borderId="45" xfId="0" applyNumberFormat="1" applyBorder="1"/>
    <xf numFmtId="0" fontId="23" fillId="0" borderId="25" xfId="0" applyFont="1" applyBorder="1" applyAlignment="1" applyProtection="1">
      <alignment horizontal="left" shrinkToFit="1"/>
      <protection locked="0"/>
    </xf>
    <xf numFmtId="0" fontId="23" fillId="0" borderId="0" xfId="0" applyFont="1" applyBorder="1" applyAlignment="1" applyProtection="1">
      <alignment horizontal="left" shrinkToFit="1"/>
      <protection locked="0"/>
    </xf>
    <xf numFmtId="42" fontId="3" fillId="0" borderId="19" xfId="29" applyNumberFormat="1" applyFont="1" applyBorder="1" applyAlignment="1" applyProtection="1">
      <alignment horizontal="left" vertical="center"/>
      <protection locked="0"/>
    </xf>
    <xf numFmtId="42" fontId="3" fillId="0" borderId="20" xfId="29" applyNumberFormat="1" applyFont="1" applyBorder="1" applyAlignment="1" applyProtection="1">
      <alignment horizontal="left" vertical="center"/>
      <protection locked="0"/>
    </xf>
    <xf numFmtId="3" fontId="22" fillId="0" borderId="14" xfId="0" applyNumberFormat="1" applyFont="1" applyBorder="1" applyAlignment="1" applyProtection="1">
      <alignment horizontal="left"/>
      <protection locked="0"/>
    </xf>
    <xf numFmtId="0" fontId="22" fillId="0" borderId="14" xfId="0" applyFont="1" applyBorder="1" applyAlignment="1" applyProtection="1">
      <alignment horizontal="center" vertical="center"/>
      <protection locked="0"/>
    </xf>
    <xf numFmtId="0" fontId="22" fillId="0" borderId="14" xfId="0" applyFont="1" applyBorder="1" applyAlignment="1" applyProtection="1">
      <alignment horizontal="center"/>
      <protection locked="0"/>
    </xf>
    <xf numFmtId="0" fontId="23" fillId="0" borderId="18" xfId="0" applyFont="1" applyBorder="1" applyAlignment="1" applyProtection="1">
      <alignment horizontal="left" shrinkToFit="1"/>
      <protection locked="0"/>
    </xf>
    <xf numFmtId="42" fontId="50" fillId="0" borderId="19" xfId="29" applyNumberFormat="1" applyFont="1" applyBorder="1" applyAlignment="1" applyProtection="1">
      <alignment horizontal="center" vertical="center"/>
      <protection locked="0"/>
    </xf>
    <xf numFmtId="42" fontId="50" fillId="0" borderId="20" xfId="29" applyNumberFormat="1" applyFont="1" applyBorder="1" applyAlignment="1" applyProtection="1">
      <alignment horizontal="center" vertical="center"/>
      <protection locked="0"/>
    </xf>
    <xf numFmtId="0" fontId="43" fillId="0" borderId="30" xfId="0" applyFont="1" applyBorder="1" applyAlignment="1" applyProtection="1">
      <alignment horizontal="left" shrinkToFit="1"/>
    </xf>
    <xf numFmtId="0" fontId="4" fillId="20" borderId="25" xfId="0" applyFont="1" applyFill="1" applyBorder="1" applyAlignment="1" applyProtection="1">
      <alignment horizontal="center"/>
      <protection locked="0"/>
    </xf>
    <xf numFmtId="0" fontId="4" fillId="20" borderId="0" xfId="0" applyFont="1" applyFill="1" applyBorder="1" applyAlignment="1" applyProtection="1">
      <alignment horizontal="center"/>
      <protection locked="0"/>
    </xf>
    <xf numFmtId="0" fontId="4" fillId="20" borderId="26" xfId="0" applyFont="1" applyFill="1" applyBorder="1" applyAlignment="1" applyProtection="1">
      <alignment horizontal="center"/>
      <protection locked="0"/>
    </xf>
    <xf numFmtId="0" fontId="22" fillId="0" borderId="0" xfId="0" applyFont="1" applyBorder="1" applyAlignment="1" applyProtection="1">
      <alignment horizontal="right"/>
      <protection locked="0"/>
    </xf>
    <xf numFmtId="164" fontId="22" fillId="0" borderId="0" xfId="29" applyNumberFormat="1" applyFont="1" applyBorder="1" applyAlignment="1" applyProtection="1">
      <alignment horizontal="left"/>
      <protection locked="0"/>
    </xf>
    <xf numFmtId="0" fontId="22" fillId="0" borderId="10" xfId="0" applyFont="1" applyBorder="1" applyAlignment="1" applyProtection="1">
      <alignment horizontal="right"/>
      <protection locked="0"/>
    </xf>
    <xf numFmtId="0" fontId="22" fillId="0" borderId="14" xfId="0" applyFont="1" applyBorder="1" applyAlignment="1" applyProtection="1">
      <alignment horizontal="left"/>
      <protection locked="0"/>
    </xf>
    <xf numFmtId="0" fontId="23" fillId="0" borderId="0" xfId="0" applyFont="1" applyBorder="1" applyAlignment="1" applyProtection="1">
      <alignment horizontal="right"/>
      <protection locked="0"/>
    </xf>
    <xf numFmtId="0" fontId="23" fillId="0" borderId="18" xfId="0" applyFont="1" applyBorder="1" applyAlignment="1" applyProtection="1">
      <alignment horizontal="right"/>
      <protection locked="0"/>
    </xf>
    <xf numFmtId="166" fontId="3" fillId="0" borderId="19" xfId="29" applyNumberFormat="1" applyFont="1" applyBorder="1" applyAlignment="1" applyProtection="1">
      <alignment horizontal="left" vertical="center"/>
      <protection locked="0"/>
    </xf>
    <xf numFmtId="166" fontId="3" fillId="0" borderId="20" xfId="29" applyNumberFormat="1" applyFont="1" applyBorder="1" applyAlignment="1" applyProtection="1">
      <alignment horizontal="left" vertical="center"/>
      <protection locked="0"/>
    </xf>
    <xf numFmtId="0" fontId="0" fillId="0" borderId="14" xfId="0" applyFont="1" applyBorder="1" applyAlignment="1" applyProtection="1">
      <alignment horizontal="left" shrinkToFit="1"/>
      <protection locked="0"/>
    </xf>
    <xf numFmtId="166" fontId="22" fillId="0" borderId="0" xfId="29" applyNumberFormat="1" applyFont="1" applyBorder="1" applyAlignment="1" applyProtection="1">
      <alignment horizontal="left"/>
      <protection locked="0"/>
    </xf>
    <xf numFmtId="0" fontId="39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4" fillId="20" borderId="25" xfId="0" applyFont="1" applyFill="1" applyBorder="1" applyAlignment="1" applyProtection="1">
      <alignment horizontal="left"/>
      <protection locked="0"/>
    </xf>
    <xf numFmtId="0" fontId="34" fillId="20" borderId="0" xfId="0" applyFont="1" applyFill="1" applyBorder="1" applyAlignment="1" applyProtection="1">
      <alignment horizontal="left"/>
      <protection locked="0"/>
    </xf>
    <xf numFmtId="0" fontId="35" fillId="21" borderId="25" xfId="0" applyFont="1" applyFill="1" applyBorder="1" applyAlignment="1" applyProtection="1">
      <alignment horizontal="center"/>
      <protection locked="0"/>
    </xf>
    <xf numFmtId="0" fontId="35" fillId="21" borderId="0" xfId="0" applyFont="1" applyFill="1" applyBorder="1" applyAlignment="1" applyProtection="1">
      <alignment horizontal="center"/>
      <protection locked="0"/>
    </xf>
    <xf numFmtId="0" fontId="35" fillId="21" borderId="26" xfId="0" applyFont="1" applyFill="1" applyBorder="1" applyAlignment="1" applyProtection="1">
      <alignment horizontal="center"/>
      <protection locked="0"/>
    </xf>
    <xf numFmtId="42" fontId="42" fillId="0" borderId="19" xfId="0" applyNumberFormat="1" applyFont="1" applyBorder="1" applyAlignment="1" applyProtection="1">
      <alignment horizontal="center" vertical="top"/>
    </xf>
    <xf numFmtId="42" fontId="42" fillId="0" borderId="20" xfId="0" applyNumberFormat="1" applyFont="1" applyBorder="1" applyAlignment="1" applyProtection="1">
      <alignment horizontal="center" vertical="top"/>
    </xf>
    <xf numFmtId="42" fontId="50" fillId="0" borderId="19" xfId="0" applyNumberFormat="1" applyFont="1" applyBorder="1" applyAlignment="1" applyProtection="1">
      <alignment horizontal="center"/>
    </xf>
    <xf numFmtId="42" fontId="50" fillId="0" borderId="20" xfId="0" applyNumberFormat="1" applyFont="1" applyBorder="1" applyAlignment="1" applyProtection="1">
      <alignment horizontal="center"/>
    </xf>
    <xf numFmtId="0" fontId="35" fillId="21" borderId="25" xfId="0" applyFont="1" applyFill="1" applyBorder="1" applyAlignment="1" applyProtection="1">
      <alignment horizontal="center" vertical="center"/>
      <protection locked="0"/>
    </xf>
    <xf numFmtId="0" fontId="35" fillId="21" borderId="0" xfId="0" applyFont="1" applyFill="1" applyBorder="1" applyAlignment="1" applyProtection="1">
      <alignment horizontal="center" vertical="center"/>
      <protection locked="0"/>
    </xf>
    <xf numFmtId="0" fontId="35" fillId="21" borderId="26" xfId="0" applyFont="1" applyFill="1" applyBorder="1" applyAlignment="1" applyProtection="1">
      <alignment horizontal="center" vertical="center"/>
      <protection locked="0"/>
    </xf>
    <xf numFmtId="42" fontId="50" fillId="0" borderId="19" xfId="0" applyNumberFormat="1" applyFont="1" applyBorder="1" applyAlignment="1" applyProtection="1">
      <alignment horizontal="center" vertical="top"/>
    </xf>
    <xf numFmtId="42" fontId="50" fillId="0" borderId="20" xfId="0" applyNumberFormat="1" applyFont="1" applyBorder="1" applyAlignment="1" applyProtection="1">
      <alignment horizontal="center" vertical="top"/>
    </xf>
    <xf numFmtId="0" fontId="31" fillId="0" borderId="23" xfId="0" applyFont="1" applyBorder="1" applyAlignment="1" applyProtection="1">
      <alignment horizontal="center"/>
      <protection locked="0"/>
    </xf>
    <xf numFmtId="0" fontId="31" fillId="0" borderId="24" xfId="0" applyFont="1" applyBorder="1" applyAlignment="1" applyProtection="1">
      <alignment horizontal="center"/>
      <protection locked="0"/>
    </xf>
    <xf numFmtId="0" fontId="40" fillId="0" borderId="0" xfId="36" applyFont="1" applyAlignment="1" applyProtection="1">
      <alignment horizontal="right" vertical="center" wrapText="1"/>
    </xf>
    <xf numFmtId="0" fontId="0" fillId="0" borderId="0" xfId="0" applyAlignment="1">
      <alignment horizontal="right" vertical="center" wrapText="1"/>
    </xf>
    <xf numFmtId="0" fontId="41" fillId="0" borderId="0" xfId="0" applyFont="1" applyBorder="1" applyAlignment="1">
      <alignment horizontal="center" vertical="center"/>
    </xf>
    <xf numFmtId="0" fontId="38" fillId="0" borderId="0" xfId="0" applyFont="1" applyAlignment="1">
      <alignment horizontal="center"/>
    </xf>
    <xf numFmtId="3" fontId="22" fillId="0" borderId="30" xfId="0" applyNumberFormat="1" applyFont="1" applyBorder="1" applyAlignment="1" applyProtection="1">
      <alignment horizontal="left"/>
      <protection locked="0"/>
    </xf>
    <xf numFmtId="167" fontId="32" fillId="0" borderId="0" xfId="0" applyNumberFormat="1" applyFont="1" applyBorder="1" applyAlignment="1" applyProtection="1">
      <alignment horizontal="left"/>
      <protection locked="0"/>
    </xf>
    <xf numFmtId="42" fontId="50" fillId="0" borderId="19" xfId="29" applyNumberFormat="1" applyFont="1" applyBorder="1" applyAlignment="1" applyProtection="1">
      <alignment horizontal="left" vertical="center"/>
    </xf>
    <xf numFmtId="42" fontId="50" fillId="0" borderId="20" xfId="29" applyNumberFormat="1" applyFont="1" applyBorder="1" applyAlignment="1" applyProtection="1">
      <alignment horizontal="left" vertical="center"/>
    </xf>
    <xf numFmtId="0" fontId="0" fillId="0" borderId="31" xfId="0" applyFont="1" applyBorder="1" applyAlignment="1" applyProtection="1">
      <alignment horizontal="justify" vertical="center" wrapText="1"/>
      <protection locked="0"/>
    </xf>
    <xf numFmtId="0" fontId="0" fillId="0" borderId="23" xfId="0" applyFont="1" applyBorder="1" applyAlignment="1" applyProtection="1">
      <alignment horizontal="justify" vertical="center" wrapText="1"/>
      <protection locked="0"/>
    </xf>
    <xf numFmtId="0" fontId="0" fillId="0" borderId="24" xfId="0" applyFont="1" applyBorder="1" applyAlignment="1" applyProtection="1">
      <alignment horizontal="justify" vertical="center" wrapText="1"/>
      <protection locked="0"/>
    </xf>
    <xf numFmtId="0" fontId="0" fillId="0" borderId="25" xfId="0" applyFont="1" applyBorder="1" applyAlignment="1" applyProtection="1">
      <alignment horizontal="justify" vertical="center" wrapText="1"/>
      <protection locked="0"/>
    </xf>
    <xf numFmtId="0" fontId="0" fillId="0" borderId="0" xfId="0" applyFont="1" applyBorder="1" applyAlignment="1" applyProtection="1">
      <alignment horizontal="justify" vertical="center" wrapText="1"/>
      <protection locked="0"/>
    </xf>
    <xf numFmtId="0" fontId="0" fillId="0" borderId="26" xfId="0" applyFont="1" applyBorder="1" applyAlignment="1" applyProtection="1">
      <alignment horizontal="justify" vertical="center" wrapText="1"/>
      <protection locked="0"/>
    </xf>
    <xf numFmtId="0" fontId="0" fillId="0" borderId="27" xfId="0" applyFont="1" applyBorder="1" applyAlignment="1" applyProtection="1">
      <alignment horizontal="justify" vertical="center" wrapText="1"/>
      <protection locked="0"/>
    </xf>
    <xf numFmtId="0" fontId="0" fillId="0" borderId="28" xfId="0" applyFont="1" applyBorder="1" applyAlignment="1" applyProtection="1">
      <alignment horizontal="justify" vertical="center" wrapText="1"/>
      <protection locked="0"/>
    </xf>
    <xf numFmtId="0" fontId="0" fillId="0" borderId="29" xfId="0" applyFont="1" applyBorder="1" applyAlignment="1" applyProtection="1">
      <alignment horizontal="justify" vertical="center" wrapText="1"/>
      <protection locked="0"/>
    </xf>
    <xf numFmtId="42" fontId="42" fillId="0" borderId="19" xfId="0" applyNumberFormat="1" applyFont="1" applyBorder="1" applyAlignment="1" applyProtection="1">
      <alignment horizontal="center"/>
    </xf>
    <xf numFmtId="42" fontId="42" fillId="0" borderId="20" xfId="0" applyNumberFormat="1" applyFont="1" applyBorder="1" applyAlignment="1" applyProtection="1">
      <alignment horizontal="center"/>
    </xf>
    <xf numFmtId="42" fontId="42" fillId="0" borderId="19" xfId="29" applyNumberFormat="1" applyFont="1" applyBorder="1" applyAlignment="1" applyProtection="1">
      <alignment horizontal="left" vertical="center"/>
    </xf>
    <xf numFmtId="42" fontId="42" fillId="0" borderId="20" xfId="29" applyNumberFormat="1" applyFont="1" applyBorder="1" applyAlignment="1" applyProtection="1">
      <alignment horizontal="left" vertical="center"/>
    </xf>
    <xf numFmtId="1" fontId="22" fillId="0" borderId="14" xfId="0" applyNumberFormat="1" applyFont="1" applyBorder="1" applyAlignment="1" applyProtection="1">
      <alignment horizontal="left"/>
      <protection locked="0"/>
    </xf>
    <xf numFmtId="42" fontId="3" fillId="0" borderId="19" xfId="29" applyNumberFormat="1" applyFont="1" applyBorder="1" applyAlignment="1" applyProtection="1">
      <alignment horizontal="center" vertical="center"/>
      <protection locked="0"/>
    </xf>
    <xf numFmtId="42" fontId="3" fillId="0" borderId="20" xfId="29" applyNumberFormat="1" applyFont="1" applyBorder="1" applyAlignment="1" applyProtection="1">
      <alignment horizontal="center" vertical="center"/>
      <protection locked="0"/>
    </xf>
    <xf numFmtId="0" fontId="45" fillId="0" borderId="33" xfId="0" applyFont="1" applyBorder="1" applyAlignment="1">
      <alignment horizontal="center" vertical="center"/>
    </xf>
    <xf numFmtId="0" fontId="45" fillId="0" borderId="36" xfId="0" applyFont="1" applyBorder="1" applyAlignment="1">
      <alignment horizontal="center" vertical="center"/>
    </xf>
    <xf numFmtId="0" fontId="45" fillId="0" borderId="34" xfId="0" applyFont="1" applyBorder="1" applyAlignment="1">
      <alignment horizontal="center" vertical="center"/>
    </xf>
    <xf numFmtId="0" fontId="45" fillId="0" borderId="37" xfId="0" applyFont="1" applyBorder="1" applyAlignment="1">
      <alignment horizontal="center" vertical="center"/>
    </xf>
    <xf numFmtId="0" fontId="34" fillId="0" borderId="34" xfId="0" applyFont="1" applyBorder="1" applyAlignment="1">
      <alignment horizontal="center" vertical="center" wrapText="1"/>
    </xf>
    <xf numFmtId="0" fontId="34" fillId="0" borderId="37" xfId="0" applyFont="1" applyBorder="1" applyAlignment="1">
      <alignment horizontal="center" vertical="center" wrapText="1"/>
    </xf>
    <xf numFmtId="0" fontId="44" fillId="0" borderId="34" xfId="0" applyFont="1" applyBorder="1" applyAlignment="1">
      <alignment horizontal="center" vertical="center" wrapText="1"/>
    </xf>
    <xf numFmtId="0" fontId="44" fillId="0" borderId="37" xfId="0" applyFont="1" applyBorder="1" applyAlignment="1">
      <alignment horizontal="center" vertical="center" wrapText="1"/>
    </xf>
    <xf numFmtId="0" fontId="34" fillId="0" borderId="42" xfId="0" applyFont="1" applyBorder="1" applyAlignment="1">
      <alignment horizontal="center" vertical="center" wrapText="1"/>
    </xf>
    <xf numFmtId="0" fontId="34" fillId="0" borderId="43" xfId="0" applyFont="1" applyBorder="1" applyAlignment="1">
      <alignment horizontal="center" vertical="center" wrapText="1"/>
    </xf>
    <xf numFmtId="0" fontId="44" fillId="0" borderId="46" xfId="0" applyFont="1" applyBorder="1" applyAlignment="1">
      <alignment horizontal="center" vertical="center" wrapText="1"/>
    </xf>
    <xf numFmtId="0" fontId="44" fillId="0" borderId="47" xfId="0" applyFont="1" applyBorder="1" applyAlignment="1">
      <alignment horizontal="center" vertical="center" wrapText="1"/>
    </xf>
    <xf numFmtId="0" fontId="44" fillId="0" borderId="48" xfId="0" applyFont="1" applyBorder="1" applyAlignment="1">
      <alignment horizontal="center" vertical="center" wrapText="1"/>
    </xf>
    <xf numFmtId="0" fontId="44" fillId="0" borderId="49" xfId="0" applyFont="1" applyBorder="1" applyAlignment="1">
      <alignment horizontal="center" vertical="center" wrapText="1"/>
    </xf>
  </cellXfs>
  <cellStyles count="45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a" xfId="31" builtinId="26" customBuiltin="1"/>
    <cellStyle name="Cálculo" xfId="26" builtinId="22" customBuiltin="1"/>
    <cellStyle name="Celda de comprobación" xfId="27" builtinId="23" customBuiltin="1"/>
    <cellStyle name="Celda vinculada" xfId="38" builtinId="24" customBuiltin="1"/>
    <cellStyle name="Encabezado 1" xfId="32" builtinId="16" customBuiltin="1"/>
    <cellStyle name="Encabezado 4" xfId="35" builtinId="19" customBuiltin="1"/>
    <cellStyle name="Énfasis1" xfId="19" builtinId="29" customBuiltin="1"/>
    <cellStyle name="Énfasis2" xfId="20" builtinId="33" customBuiltin="1"/>
    <cellStyle name="Énfasis3" xfId="21" builtinId="37" customBuiltin="1"/>
    <cellStyle name="Énfasis4" xfId="22" builtinId="41" customBuiltin="1"/>
    <cellStyle name="Énfasis5" xfId="23" builtinId="45" customBuiltin="1"/>
    <cellStyle name="Énfasis6" xfId="24" builtinId="49" customBuiltin="1"/>
    <cellStyle name="Entrada" xfId="37" builtinId="20" customBuiltin="1"/>
    <cellStyle name="Hipervínculo" xfId="36" builtinId="8" customBuiltin="1"/>
    <cellStyle name="Incorrecto" xfId="25" builtinId="27" customBuiltin="1"/>
    <cellStyle name="Millares" xfId="28" builtinId="3"/>
    <cellStyle name="Moneda" xfId="29" builtinId="4"/>
    <cellStyle name="Neutral" xfId="39" builtinId="28" customBuiltin="1"/>
    <cellStyle name="Normal" xfId="0" builtinId="0"/>
    <cellStyle name="Notas" xfId="40" builtinId="10" customBuiltin="1"/>
    <cellStyle name="Salida" xfId="41" builtinId="21" customBuiltin="1"/>
    <cellStyle name="Texto de advertencia" xfId="44" builtinId="11" customBuiltin="1"/>
    <cellStyle name="Texto explicativo" xfId="30" builtinId="53" customBuiltin="1"/>
    <cellStyle name="Título" xfId="42" builtinId="15" customBuiltin="1"/>
    <cellStyle name="Título 2" xfId="33" builtinId="17" customBuiltin="1"/>
    <cellStyle name="Título 3" xfId="34" builtinId="18" customBuiltin="1"/>
    <cellStyle name="Total" xfId="43" builtinId="25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5FF25F"/>
      <rgbColor rgb="000000FF"/>
      <rgbColor rgb="00FFFF00"/>
      <rgbColor rgb="00DE3018"/>
      <rgbColor rgb="0053D4C9"/>
      <rgbColor rgb="006B0C00"/>
      <rgbColor rgb="00006500"/>
      <rgbColor rgb="00182C63"/>
      <rgbColor rgb="00819C00"/>
      <rgbColor rgb="00C9B783"/>
      <rgbColor rgb="00007F74"/>
      <rgbColor rgb="00F0F0F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799FC4"/>
      <rgbColor rgb="00C1F1ED"/>
      <rgbColor rgb="00D6F4D9"/>
      <rgbColor rgb="00FFFFCC"/>
      <rgbColor rgb="00C9DAFB"/>
      <rgbColor rgb="00FAC8D7"/>
      <rgbColor rgb="00F3F0E4"/>
      <rgbColor rgb="00E4E8F3"/>
      <rgbColor rgb="001849B5"/>
      <rgbColor rgb="0036ACA2"/>
      <rgbColor rgb="00F0BA00"/>
      <rgbColor rgb="00BCC5E1"/>
      <rgbColor rgb="008394C9"/>
      <rgbColor rgb="003B4E87"/>
      <rgbColor rgb="0087743B"/>
      <rgbColor rgb="00C0C0C0"/>
      <rgbColor rgb="00003366"/>
      <rgbColor rgb="00109618"/>
      <rgbColor rgb="00085108"/>
      <rgbColor rgb="00635100"/>
      <rgbColor rgb="00273359"/>
      <rgbColor rgb="00E1D8BC"/>
      <rgbColor rgb="00594C27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1</xdr:row>
      <xdr:rowOff>28576</xdr:rowOff>
    </xdr:from>
    <xdr:to>
      <xdr:col>0</xdr:col>
      <xdr:colOff>1123950</xdr:colOff>
      <xdr:row>6</xdr:row>
      <xdr:rowOff>47626</xdr:rowOff>
    </xdr:to>
    <xdr:pic>
      <xdr:nvPicPr>
        <xdr:cNvPr id="6" name="Imagen 1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90501"/>
          <a:ext cx="952500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485776</xdr:colOff>
      <xdr:row>1</xdr:row>
      <xdr:rowOff>9525</xdr:rowOff>
    </xdr:from>
    <xdr:to>
      <xdr:col>9</xdr:col>
      <xdr:colOff>180976</xdr:colOff>
      <xdr:row>6</xdr:row>
      <xdr:rowOff>76200</xdr:rowOff>
    </xdr:to>
    <xdr:pic>
      <xdr:nvPicPr>
        <xdr:cNvPr id="7" name="Imagen 2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1" y="171450"/>
          <a:ext cx="1162050" cy="1057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495299</xdr:colOff>
      <xdr:row>39</xdr:row>
      <xdr:rowOff>57150</xdr:rowOff>
    </xdr:from>
    <xdr:to>
      <xdr:col>2</xdr:col>
      <xdr:colOff>638175</xdr:colOff>
      <xdr:row>217</xdr:row>
      <xdr:rowOff>171450</xdr:rowOff>
    </xdr:to>
    <xdr:pic>
      <xdr:nvPicPr>
        <xdr:cNvPr id="9" name="Imagen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24" y="8848725"/>
          <a:ext cx="1076326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1</xdr:row>
      <xdr:rowOff>28576</xdr:rowOff>
    </xdr:from>
    <xdr:to>
      <xdr:col>0</xdr:col>
      <xdr:colOff>1123950</xdr:colOff>
      <xdr:row>6</xdr:row>
      <xdr:rowOff>47626</xdr:rowOff>
    </xdr:to>
    <xdr:pic>
      <xdr:nvPicPr>
        <xdr:cNvPr id="2" name="Imagen 1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90501"/>
          <a:ext cx="952500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485776</xdr:colOff>
      <xdr:row>1</xdr:row>
      <xdr:rowOff>9525</xdr:rowOff>
    </xdr:from>
    <xdr:to>
      <xdr:col>9</xdr:col>
      <xdr:colOff>180976</xdr:colOff>
      <xdr:row>6</xdr:row>
      <xdr:rowOff>76200</xdr:rowOff>
    </xdr:to>
    <xdr:pic>
      <xdr:nvPicPr>
        <xdr:cNvPr id="3" name="Imagen 2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1" y="171450"/>
          <a:ext cx="1162050" cy="1057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495299</xdr:colOff>
      <xdr:row>39</xdr:row>
      <xdr:rowOff>57150</xdr:rowOff>
    </xdr:from>
    <xdr:to>
      <xdr:col>2</xdr:col>
      <xdr:colOff>638175</xdr:colOff>
      <xdr:row>217</xdr:row>
      <xdr:rowOff>171450</xdr:rowOff>
    </xdr:to>
    <xdr:pic>
      <xdr:nvPicPr>
        <xdr:cNvPr id="4" name="Imagen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24" y="8848725"/>
          <a:ext cx="1076326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171450</xdr:colOff>
      <xdr:row>1</xdr:row>
      <xdr:rowOff>28576</xdr:rowOff>
    </xdr:from>
    <xdr:to>
      <xdr:col>0</xdr:col>
      <xdr:colOff>1123950</xdr:colOff>
      <xdr:row>6</xdr:row>
      <xdr:rowOff>47626</xdr:rowOff>
    </xdr:to>
    <xdr:pic>
      <xdr:nvPicPr>
        <xdr:cNvPr id="5" name="Imagen 1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90501"/>
          <a:ext cx="952500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485776</xdr:colOff>
      <xdr:row>1</xdr:row>
      <xdr:rowOff>9525</xdr:rowOff>
    </xdr:from>
    <xdr:to>
      <xdr:col>9</xdr:col>
      <xdr:colOff>180976</xdr:colOff>
      <xdr:row>6</xdr:row>
      <xdr:rowOff>76200</xdr:rowOff>
    </xdr:to>
    <xdr:pic>
      <xdr:nvPicPr>
        <xdr:cNvPr id="6" name="Imagen 2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1" y="171450"/>
          <a:ext cx="1162050" cy="1057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495299</xdr:colOff>
      <xdr:row>39</xdr:row>
      <xdr:rowOff>57150</xdr:rowOff>
    </xdr:from>
    <xdr:to>
      <xdr:col>2</xdr:col>
      <xdr:colOff>638175</xdr:colOff>
      <xdr:row>217</xdr:row>
      <xdr:rowOff>171450</xdr:rowOff>
    </xdr:to>
    <xdr:pic>
      <xdr:nvPicPr>
        <xdr:cNvPr id="7" name="Imagen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24" y="8848725"/>
          <a:ext cx="1076326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1</xdr:row>
      <xdr:rowOff>28576</xdr:rowOff>
    </xdr:from>
    <xdr:to>
      <xdr:col>0</xdr:col>
      <xdr:colOff>1123950</xdr:colOff>
      <xdr:row>6</xdr:row>
      <xdr:rowOff>47626</xdr:rowOff>
    </xdr:to>
    <xdr:pic>
      <xdr:nvPicPr>
        <xdr:cNvPr id="2" name="Imagen 1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90501"/>
          <a:ext cx="952500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485776</xdr:colOff>
      <xdr:row>1</xdr:row>
      <xdr:rowOff>9525</xdr:rowOff>
    </xdr:from>
    <xdr:to>
      <xdr:col>9</xdr:col>
      <xdr:colOff>180976</xdr:colOff>
      <xdr:row>6</xdr:row>
      <xdr:rowOff>76200</xdr:rowOff>
    </xdr:to>
    <xdr:pic>
      <xdr:nvPicPr>
        <xdr:cNvPr id="3" name="Imagen 2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1" y="171450"/>
          <a:ext cx="1162050" cy="1057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495299</xdr:colOff>
      <xdr:row>38</xdr:row>
      <xdr:rowOff>57150</xdr:rowOff>
    </xdr:from>
    <xdr:to>
      <xdr:col>2</xdr:col>
      <xdr:colOff>638175</xdr:colOff>
      <xdr:row>216</xdr:row>
      <xdr:rowOff>171450</xdr:rowOff>
    </xdr:to>
    <xdr:pic>
      <xdr:nvPicPr>
        <xdr:cNvPr id="4" name="Imagen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24" y="8848725"/>
          <a:ext cx="1076326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171450</xdr:colOff>
      <xdr:row>1</xdr:row>
      <xdr:rowOff>28576</xdr:rowOff>
    </xdr:from>
    <xdr:to>
      <xdr:col>0</xdr:col>
      <xdr:colOff>1123950</xdr:colOff>
      <xdr:row>6</xdr:row>
      <xdr:rowOff>47626</xdr:rowOff>
    </xdr:to>
    <xdr:pic>
      <xdr:nvPicPr>
        <xdr:cNvPr id="5" name="Imagen 1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90501"/>
          <a:ext cx="952500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485776</xdr:colOff>
      <xdr:row>1</xdr:row>
      <xdr:rowOff>9525</xdr:rowOff>
    </xdr:from>
    <xdr:to>
      <xdr:col>9</xdr:col>
      <xdr:colOff>180976</xdr:colOff>
      <xdr:row>6</xdr:row>
      <xdr:rowOff>76200</xdr:rowOff>
    </xdr:to>
    <xdr:pic>
      <xdr:nvPicPr>
        <xdr:cNvPr id="6" name="Imagen 2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1" y="171450"/>
          <a:ext cx="1162050" cy="1057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495299</xdr:colOff>
      <xdr:row>38</xdr:row>
      <xdr:rowOff>57150</xdr:rowOff>
    </xdr:from>
    <xdr:to>
      <xdr:col>2</xdr:col>
      <xdr:colOff>638175</xdr:colOff>
      <xdr:row>216</xdr:row>
      <xdr:rowOff>171450</xdr:rowOff>
    </xdr:to>
    <xdr:pic>
      <xdr:nvPicPr>
        <xdr:cNvPr id="7" name="Imagen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24" y="8848725"/>
          <a:ext cx="1076326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171450</xdr:colOff>
      <xdr:row>1</xdr:row>
      <xdr:rowOff>28576</xdr:rowOff>
    </xdr:from>
    <xdr:to>
      <xdr:col>0</xdr:col>
      <xdr:colOff>1123950</xdr:colOff>
      <xdr:row>6</xdr:row>
      <xdr:rowOff>47626</xdr:rowOff>
    </xdr:to>
    <xdr:pic>
      <xdr:nvPicPr>
        <xdr:cNvPr id="8" name="Imagen 1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90501"/>
          <a:ext cx="952500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485776</xdr:colOff>
      <xdr:row>1</xdr:row>
      <xdr:rowOff>9525</xdr:rowOff>
    </xdr:from>
    <xdr:to>
      <xdr:col>9</xdr:col>
      <xdr:colOff>180976</xdr:colOff>
      <xdr:row>6</xdr:row>
      <xdr:rowOff>76200</xdr:rowOff>
    </xdr:to>
    <xdr:pic>
      <xdr:nvPicPr>
        <xdr:cNvPr id="9" name="Imagen 2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1" y="171450"/>
          <a:ext cx="1162050" cy="1057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495299</xdr:colOff>
      <xdr:row>38</xdr:row>
      <xdr:rowOff>57150</xdr:rowOff>
    </xdr:from>
    <xdr:to>
      <xdr:col>2</xdr:col>
      <xdr:colOff>638175</xdr:colOff>
      <xdr:row>216</xdr:row>
      <xdr:rowOff>171450</xdr:rowOff>
    </xdr:to>
    <xdr:pic>
      <xdr:nvPicPr>
        <xdr:cNvPr id="10" name="Imagen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24" y="8867775"/>
          <a:ext cx="1076326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1</xdr:row>
      <xdr:rowOff>28576</xdr:rowOff>
    </xdr:from>
    <xdr:to>
      <xdr:col>0</xdr:col>
      <xdr:colOff>1123950</xdr:colOff>
      <xdr:row>6</xdr:row>
      <xdr:rowOff>47626</xdr:rowOff>
    </xdr:to>
    <xdr:pic>
      <xdr:nvPicPr>
        <xdr:cNvPr id="2" name="Imagen 1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90501"/>
          <a:ext cx="952500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485776</xdr:colOff>
      <xdr:row>1</xdr:row>
      <xdr:rowOff>9525</xdr:rowOff>
    </xdr:from>
    <xdr:to>
      <xdr:col>9</xdr:col>
      <xdr:colOff>180976</xdr:colOff>
      <xdr:row>6</xdr:row>
      <xdr:rowOff>76200</xdr:rowOff>
    </xdr:to>
    <xdr:pic>
      <xdr:nvPicPr>
        <xdr:cNvPr id="3" name="Imagen 2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1" y="171450"/>
          <a:ext cx="1162050" cy="1057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495299</xdr:colOff>
      <xdr:row>38</xdr:row>
      <xdr:rowOff>57150</xdr:rowOff>
    </xdr:from>
    <xdr:to>
      <xdr:col>2</xdr:col>
      <xdr:colOff>638175</xdr:colOff>
      <xdr:row>216</xdr:row>
      <xdr:rowOff>171450</xdr:rowOff>
    </xdr:to>
    <xdr:pic>
      <xdr:nvPicPr>
        <xdr:cNvPr id="4" name="Imagen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24" y="8848725"/>
          <a:ext cx="1076326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171450</xdr:colOff>
      <xdr:row>1</xdr:row>
      <xdr:rowOff>28576</xdr:rowOff>
    </xdr:from>
    <xdr:to>
      <xdr:col>0</xdr:col>
      <xdr:colOff>1123950</xdr:colOff>
      <xdr:row>6</xdr:row>
      <xdr:rowOff>47626</xdr:rowOff>
    </xdr:to>
    <xdr:pic>
      <xdr:nvPicPr>
        <xdr:cNvPr id="5" name="Imagen 1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90501"/>
          <a:ext cx="952500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485776</xdr:colOff>
      <xdr:row>1</xdr:row>
      <xdr:rowOff>9525</xdr:rowOff>
    </xdr:from>
    <xdr:to>
      <xdr:col>9</xdr:col>
      <xdr:colOff>180976</xdr:colOff>
      <xdr:row>6</xdr:row>
      <xdr:rowOff>76200</xdr:rowOff>
    </xdr:to>
    <xdr:pic>
      <xdr:nvPicPr>
        <xdr:cNvPr id="6" name="Imagen 2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1" y="171450"/>
          <a:ext cx="1162050" cy="1057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495299</xdr:colOff>
      <xdr:row>38</xdr:row>
      <xdr:rowOff>57150</xdr:rowOff>
    </xdr:from>
    <xdr:to>
      <xdr:col>2</xdr:col>
      <xdr:colOff>638175</xdr:colOff>
      <xdr:row>216</xdr:row>
      <xdr:rowOff>171450</xdr:rowOff>
    </xdr:to>
    <xdr:pic>
      <xdr:nvPicPr>
        <xdr:cNvPr id="7" name="Imagen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24" y="8848725"/>
          <a:ext cx="1076326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171450</xdr:colOff>
      <xdr:row>1</xdr:row>
      <xdr:rowOff>28576</xdr:rowOff>
    </xdr:from>
    <xdr:to>
      <xdr:col>0</xdr:col>
      <xdr:colOff>1123950</xdr:colOff>
      <xdr:row>6</xdr:row>
      <xdr:rowOff>47626</xdr:rowOff>
    </xdr:to>
    <xdr:pic>
      <xdr:nvPicPr>
        <xdr:cNvPr id="8" name="Imagen 1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90501"/>
          <a:ext cx="952500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485776</xdr:colOff>
      <xdr:row>1</xdr:row>
      <xdr:rowOff>9525</xdr:rowOff>
    </xdr:from>
    <xdr:to>
      <xdr:col>9</xdr:col>
      <xdr:colOff>180976</xdr:colOff>
      <xdr:row>6</xdr:row>
      <xdr:rowOff>76200</xdr:rowOff>
    </xdr:to>
    <xdr:pic>
      <xdr:nvPicPr>
        <xdr:cNvPr id="9" name="Imagen 2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1" y="171450"/>
          <a:ext cx="1162050" cy="1057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495299</xdr:colOff>
      <xdr:row>38</xdr:row>
      <xdr:rowOff>57150</xdr:rowOff>
    </xdr:from>
    <xdr:to>
      <xdr:col>2</xdr:col>
      <xdr:colOff>638175</xdr:colOff>
      <xdr:row>216</xdr:row>
      <xdr:rowOff>171450</xdr:rowOff>
    </xdr:to>
    <xdr:pic>
      <xdr:nvPicPr>
        <xdr:cNvPr id="10" name="Imagen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24" y="8848725"/>
          <a:ext cx="1076326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171450</xdr:colOff>
      <xdr:row>1</xdr:row>
      <xdr:rowOff>28576</xdr:rowOff>
    </xdr:from>
    <xdr:to>
      <xdr:col>0</xdr:col>
      <xdr:colOff>1123950</xdr:colOff>
      <xdr:row>6</xdr:row>
      <xdr:rowOff>47626</xdr:rowOff>
    </xdr:to>
    <xdr:pic>
      <xdr:nvPicPr>
        <xdr:cNvPr id="11" name="Imagen 1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90501"/>
          <a:ext cx="952500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485776</xdr:colOff>
      <xdr:row>1</xdr:row>
      <xdr:rowOff>9525</xdr:rowOff>
    </xdr:from>
    <xdr:to>
      <xdr:col>9</xdr:col>
      <xdr:colOff>180976</xdr:colOff>
      <xdr:row>6</xdr:row>
      <xdr:rowOff>76200</xdr:rowOff>
    </xdr:to>
    <xdr:pic>
      <xdr:nvPicPr>
        <xdr:cNvPr id="12" name="Imagen 2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1" y="171450"/>
          <a:ext cx="1162050" cy="1057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495299</xdr:colOff>
      <xdr:row>38</xdr:row>
      <xdr:rowOff>57150</xdr:rowOff>
    </xdr:from>
    <xdr:to>
      <xdr:col>2</xdr:col>
      <xdr:colOff>638175</xdr:colOff>
      <xdr:row>216</xdr:row>
      <xdr:rowOff>171450</xdr:rowOff>
    </xdr:to>
    <xdr:pic>
      <xdr:nvPicPr>
        <xdr:cNvPr id="13" name="Imagen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24" y="8867775"/>
          <a:ext cx="1076326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1</xdr:row>
      <xdr:rowOff>28576</xdr:rowOff>
    </xdr:from>
    <xdr:to>
      <xdr:col>0</xdr:col>
      <xdr:colOff>1123950</xdr:colOff>
      <xdr:row>6</xdr:row>
      <xdr:rowOff>47626</xdr:rowOff>
    </xdr:to>
    <xdr:pic>
      <xdr:nvPicPr>
        <xdr:cNvPr id="2" name="Imagen 1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90501"/>
          <a:ext cx="952500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485776</xdr:colOff>
      <xdr:row>1</xdr:row>
      <xdr:rowOff>9525</xdr:rowOff>
    </xdr:from>
    <xdr:to>
      <xdr:col>9</xdr:col>
      <xdr:colOff>180976</xdr:colOff>
      <xdr:row>6</xdr:row>
      <xdr:rowOff>76200</xdr:rowOff>
    </xdr:to>
    <xdr:pic>
      <xdr:nvPicPr>
        <xdr:cNvPr id="3" name="Imagen 2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1" y="171450"/>
          <a:ext cx="1162050" cy="1057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495299</xdr:colOff>
      <xdr:row>38</xdr:row>
      <xdr:rowOff>57150</xdr:rowOff>
    </xdr:from>
    <xdr:to>
      <xdr:col>2</xdr:col>
      <xdr:colOff>638175</xdr:colOff>
      <xdr:row>216</xdr:row>
      <xdr:rowOff>171450</xdr:rowOff>
    </xdr:to>
    <xdr:pic>
      <xdr:nvPicPr>
        <xdr:cNvPr id="4" name="Imagen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24" y="8848725"/>
          <a:ext cx="1076326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171450</xdr:colOff>
      <xdr:row>1</xdr:row>
      <xdr:rowOff>28576</xdr:rowOff>
    </xdr:from>
    <xdr:to>
      <xdr:col>0</xdr:col>
      <xdr:colOff>1123950</xdr:colOff>
      <xdr:row>6</xdr:row>
      <xdr:rowOff>47626</xdr:rowOff>
    </xdr:to>
    <xdr:pic>
      <xdr:nvPicPr>
        <xdr:cNvPr id="5" name="Imagen 1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90501"/>
          <a:ext cx="952500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485776</xdr:colOff>
      <xdr:row>1</xdr:row>
      <xdr:rowOff>9525</xdr:rowOff>
    </xdr:from>
    <xdr:to>
      <xdr:col>9</xdr:col>
      <xdr:colOff>180976</xdr:colOff>
      <xdr:row>6</xdr:row>
      <xdr:rowOff>76200</xdr:rowOff>
    </xdr:to>
    <xdr:pic>
      <xdr:nvPicPr>
        <xdr:cNvPr id="6" name="Imagen 2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1" y="171450"/>
          <a:ext cx="1162050" cy="1057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495299</xdr:colOff>
      <xdr:row>38</xdr:row>
      <xdr:rowOff>57150</xdr:rowOff>
    </xdr:from>
    <xdr:to>
      <xdr:col>2</xdr:col>
      <xdr:colOff>638175</xdr:colOff>
      <xdr:row>216</xdr:row>
      <xdr:rowOff>171450</xdr:rowOff>
    </xdr:to>
    <xdr:pic>
      <xdr:nvPicPr>
        <xdr:cNvPr id="7" name="Imagen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24" y="8848725"/>
          <a:ext cx="1076326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171450</xdr:colOff>
      <xdr:row>1</xdr:row>
      <xdr:rowOff>28576</xdr:rowOff>
    </xdr:from>
    <xdr:to>
      <xdr:col>0</xdr:col>
      <xdr:colOff>1123950</xdr:colOff>
      <xdr:row>6</xdr:row>
      <xdr:rowOff>47626</xdr:rowOff>
    </xdr:to>
    <xdr:pic>
      <xdr:nvPicPr>
        <xdr:cNvPr id="8" name="Imagen 1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90501"/>
          <a:ext cx="952500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485776</xdr:colOff>
      <xdr:row>1</xdr:row>
      <xdr:rowOff>9525</xdr:rowOff>
    </xdr:from>
    <xdr:to>
      <xdr:col>9</xdr:col>
      <xdr:colOff>180976</xdr:colOff>
      <xdr:row>6</xdr:row>
      <xdr:rowOff>76200</xdr:rowOff>
    </xdr:to>
    <xdr:pic>
      <xdr:nvPicPr>
        <xdr:cNvPr id="9" name="Imagen 2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1" y="171450"/>
          <a:ext cx="1162050" cy="1057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495299</xdr:colOff>
      <xdr:row>38</xdr:row>
      <xdr:rowOff>57150</xdr:rowOff>
    </xdr:from>
    <xdr:to>
      <xdr:col>2</xdr:col>
      <xdr:colOff>638175</xdr:colOff>
      <xdr:row>216</xdr:row>
      <xdr:rowOff>171450</xdr:rowOff>
    </xdr:to>
    <xdr:pic>
      <xdr:nvPicPr>
        <xdr:cNvPr id="10" name="Imagen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24" y="8848725"/>
          <a:ext cx="1076326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171450</xdr:colOff>
      <xdr:row>1</xdr:row>
      <xdr:rowOff>28576</xdr:rowOff>
    </xdr:from>
    <xdr:to>
      <xdr:col>0</xdr:col>
      <xdr:colOff>1123950</xdr:colOff>
      <xdr:row>6</xdr:row>
      <xdr:rowOff>47626</xdr:rowOff>
    </xdr:to>
    <xdr:pic>
      <xdr:nvPicPr>
        <xdr:cNvPr id="11" name="Imagen 1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90501"/>
          <a:ext cx="952500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485776</xdr:colOff>
      <xdr:row>1</xdr:row>
      <xdr:rowOff>9525</xdr:rowOff>
    </xdr:from>
    <xdr:to>
      <xdr:col>9</xdr:col>
      <xdr:colOff>180976</xdr:colOff>
      <xdr:row>6</xdr:row>
      <xdr:rowOff>76200</xdr:rowOff>
    </xdr:to>
    <xdr:pic>
      <xdr:nvPicPr>
        <xdr:cNvPr id="12" name="Imagen 2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1" y="171450"/>
          <a:ext cx="1162050" cy="1057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495299</xdr:colOff>
      <xdr:row>38</xdr:row>
      <xdr:rowOff>57150</xdr:rowOff>
    </xdr:from>
    <xdr:to>
      <xdr:col>2</xdr:col>
      <xdr:colOff>638175</xdr:colOff>
      <xdr:row>216</xdr:row>
      <xdr:rowOff>171450</xdr:rowOff>
    </xdr:to>
    <xdr:pic>
      <xdr:nvPicPr>
        <xdr:cNvPr id="13" name="Imagen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24" y="8848725"/>
          <a:ext cx="1076326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171450</xdr:colOff>
      <xdr:row>1</xdr:row>
      <xdr:rowOff>28576</xdr:rowOff>
    </xdr:from>
    <xdr:to>
      <xdr:col>0</xdr:col>
      <xdr:colOff>1123950</xdr:colOff>
      <xdr:row>6</xdr:row>
      <xdr:rowOff>47626</xdr:rowOff>
    </xdr:to>
    <xdr:pic>
      <xdr:nvPicPr>
        <xdr:cNvPr id="14" name="Imagen 1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90501"/>
          <a:ext cx="952500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485776</xdr:colOff>
      <xdr:row>1</xdr:row>
      <xdr:rowOff>9525</xdr:rowOff>
    </xdr:from>
    <xdr:to>
      <xdr:col>9</xdr:col>
      <xdr:colOff>180976</xdr:colOff>
      <xdr:row>6</xdr:row>
      <xdr:rowOff>76200</xdr:rowOff>
    </xdr:to>
    <xdr:pic>
      <xdr:nvPicPr>
        <xdr:cNvPr id="15" name="Imagen 2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1" y="171450"/>
          <a:ext cx="1162050" cy="1057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495299</xdr:colOff>
      <xdr:row>38</xdr:row>
      <xdr:rowOff>57150</xdr:rowOff>
    </xdr:from>
    <xdr:to>
      <xdr:col>2</xdr:col>
      <xdr:colOff>638175</xdr:colOff>
      <xdr:row>216</xdr:row>
      <xdr:rowOff>171450</xdr:rowOff>
    </xdr:to>
    <xdr:pic>
      <xdr:nvPicPr>
        <xdr:cNvPr id="16" name="Imagen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24" y="8867775"/>
          <a:ext cx="1076326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1</xdr:row>
      <xdr:rowOff>28576</xdr:rowOff>
    </xdr:from>
    <xdr:to>
      <xdr:col>0</xdr:col>
      <xdr:colOff>1123950</xdr:colOff>
      <xdr:row>6</xdr:row>
      <xdr:rowOff>47626</xdr:rowOff>
    </xdr:to>
    <xdr:pic>
      <xdr:nvPicPr>
        <xdr:cNvPr id="2" name="Imagen 1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90501"/>
          <a:ext cx="952500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485776</xdr:colOff>
      <xdr:row>1</xdr:row>
      <xdr:rowOff>9525</xdr:rowOff>
    </xdr:from>
    <xdr:to>
      <xdr:col>9</xdr:col>
      <xdr:colOff>180976</xdr:colOff>
      <xdr:row>6</xdr:row>
      <xdr:rowOff>76200</xdr:rowOff>
    </xdr:to>
    <xdr:pic>
      <xdr:nvPicPr>
        <xdr:cNvPr id="3" name="Imagen 2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1" y="171450"/>
          <a:ext cx="1162050" cy="1057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495299</xdr:colOff>
      <xdr:row>38</xdr:row>
      <xdr:rowOff>57150</xdr:rowOff>
    </xdr:from>
    <xdr:to>
      <xdr:col>2</xdr:col>
      <xdr:colOff>638175</xdr:colOff>
      <xdr:row>216</xdr:row>
      <xdr:rowOff>171450</xdr:rowOff>
    </xdr:to>
    <xdr:pic>
      <xdr:nvPicPr>
        <xdr:cNvPr id="4" name="Imagen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24" y="8848725"/>
          <a:ext cx="1076326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171450</xdr:colOff>
      <xdr:row>1</xdr:row>
      <xdr:rowOff>28576</xdr:rowOff>
    </xdr:from>
    <xdr:to>
      <xdr:col>0</xdr:col>
      <xdr:colOff>1123950</xdr:colOff>
      <xdr:row>6</xdr:row>
      <xdr:rowOff>47626</xdr:rowOff>
    </xdr:to>
    <xdr:pic>
      <xdr:nvPicPr>
        <xdr:cNvPr id="5" name="Imagen 1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90501"/>
          <a:ext cx="952500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485776</xdr:colOff>
      <xdr:row>1</xdr:row>
      <xdr:rowOff>9525</xdr:rowOff>
    </xdr:from>
    <xdr:to>
      <xdr:col>9</xdr:col>
      <xdr:colOff>180976</xdr:colOff>
      <xdr:row>6</xdr:row>
      <xdr:rowOff>76200</xdr:rowOff>
    </xdr:to>
    <xdr:pic>
      <xdr:nvPicPr>
        <xdr:cNvPr id="6" name="Imagen 2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1" y="171450"/>
          <a:ext cx="1162050" cy="1057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495299</xdr:colOff>
      <xdr:row>38</xdr:row>
      <xdr:rowOff>57150</xdr:rowOff>
    </xdr:from>
    <xdr:to>
      <xdr:col>2</xdr:col>
      <xdr:colOff>638175</xdr:colOff>
      <xdr:row>216</xdr:row>
      <xdr:rowOff>171450</xdr:rowOff>
    </xdr:to>
    <xdr:pic>
      <xdr:nvPicPr>
        <xdr:cNvPr id="7" name="Imagen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24" y="8848725"/>
          <a:ext cx="1076326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171450</xdr:colOff>
      <xdr:row>1</xdr:row>
      <xdr:rowOff>28576</xdr:rowOff>
    </xdr:from>
    <xdr:to>
      <xdr:col>0</xdr:col>
      <xdr:colOff>1123950</xdr:colOff>
      <xdr:row>6</xdr:row>
      <xdr:rowOff>47626</xdr:rowOff>
    </xdr:to>
    <xdr:pic>
      <xdr:nvPicPr>
        <xdr:cNvPr id="8" name="Imagen 1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90501"/>
          <a:ext cx="952500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485776</xdr:colOff>
      <xdr:row>1</xdr:row>
      <xdr:rowOff>9525</xdr:rowOff>
    </xdr:from>
    <xdr:to>
      <xdr:col>9</xdr:col>
      <xdr:colOff>180976</xdr:colOff>
      <xdr:row>6</xdr:row>
      <xdr:rowOff>76200</xdr:rowOff>
    </xdr:to>
    <xdr:pic>
      <xdr:nvPicPr>
        <xdr:cNvPr id="9" name="Imagen 2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1" y="171450"/>
          <a:ext cx="1162050" cy="1057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495299</xdr:colOff>
      <xdr:row>38</xdr:row>
      <xdr:rowOff>57150</xdr:rowOff>
    </xdr:from>
    <xdr:to>
      <xdr:col>2</xdr:col>
      <xdr:colOff>638175</xdr:colOff>
      <xdr:row>216</xdr:row>
      <xdr:rowOff>171450</xdr:rowOff>
    </xdr:to>
    <xdr:pic>
      <xdr:nvPicPr>
        <xdr:cNvPr id="10" name="Imagen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24" y="8848725"/>
          <a:ext cx="1076326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171450</xdr:colOff>
      <xdr:row>1</xdr:row>
      <xdr:rowOff>28576</xdr:rowOff>
    </xdr:from>
    <xdr:to>
      <xdr:col>0</xdr:col>
      <xdr:colOff>1123950</xdr:colOff>
      <xdr:row>6</xdr:row>
      <xdr:rowOff>47626</xdr:rowOff>
    </xdr:to>
    <xdr:pic>
      <xdr:nvPicPr>
        <xdr:cNvPr id="11" name="Imagen 1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90501"/>
          <a:ext cx="952500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485776</xdr:colOff>
      <xdr:row>1</xdr:row>
      <xdr:rowOff>9525</xdr:rowOff>
    </xdr:from>
    <xdr:to>
      <xdr:col>9</xdr:col>
      <xdr:colOff>180976</xdr:colOff>
      <xdr:row>6</xdr:row>
      <xdr:rowOff>76200</xdr:rowOff>
    </xdr:to>
    <xdr:pic>
      <xdr:nvPicPr>
        <xdr:cNvPr id="12" name="Imagen 2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1" y="171450"/>
          <a:ext cx="1162050" cy="1057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495299</xdr:colOff>
      <xdr:row>38</xdr:row>
      <xdr:rowOff>57150</xdr:rowOff>
    </xdr:from>
    <xdr:to>
      <xdr:col>2</xdr:col>
      <xdr:colOff>638175</xdr:colOff>
      <xdr:row>216</xdr:row>
      <xdr:rowOff>171450</xdr:rowOff>
    </xdr:to>
    <xdr:pic>
      <xdr:nvPicPr>
        <xdr:cNvPr id="13" name="Imagen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24" y="8848725"/>
          <a:ext cx="1076326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171450</xdr:colOff>
      <xdr:row>1</xdr:row>
      <xdr:rowOff>28576</xdr:rowOff>
    </xdr:from>
    <xdr:to>
      <xdr:col>0</xdr:col>
      <xdr:colOff>1123950</xdr:colOff>
      <xdr:row>6</xdr:row>
      <xdr:rowOff>47626</xdr:rowOff>
    </xdr:to>
    <xdr:pic>
      <xdr:nvPicPr>
        <xdr:cNvPr id="14" name="Imagen 1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90501"/>
          <a:ext cx="952500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485776</xdr:colOff>
      <xdr:row>1</xdr:row>
      <xdr:rowOff>9525</xdr:rowOff>
    </xdr:from>
    <xdr:to>
      <xdr:col>9</xdr:col>
      <xdr:colOff>180976</xdr:colOff>
      <xdr:row>6</xdr:row>
      <xdr:rowOff>76200</xdr:rowOff>
    </xdr:to>
    <xdr:pic>
      <xdr:nvPicPr>
        <xdr:cNvPr id="15" name="Imagen 2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1" y="171450"/>
          <a:ext cx="1162050" cy="1057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495299</xdr:colOff>
      <xdr:row>38</xdr:row>
      <xdr:rowOff>57150</xdr:rowOff>
    </xdr:from>
    <xdr:to>
      <xdr:col>2</xdr:col>
      <xdr:colOff>638175</xdr:colOff>
      <xdr:row>216</xdr:row>
      <xdr:rowOff>171450</xdr:rowOff>
    </xdr:to>
    <xdr:pic>
      <xdr:nvPicPr>
        <xdr:cNvPr id="16" name="Imagen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24" y="8848725"/>
          <a:ext cx="1076326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171450</xdr:colOff>
      <xdr:row>1</xdr:row>
      <xdr:rowOff>28576</xdr:rowOff>
    </xdr:from>
    <xdr:to>
      <xdr:col>0</xdr:col>
      <xdr:colOff>1123950</xdr:colOff>
      <xdr:row>6</xdr:row>
      <xdr:rowOff>47626</xdr:rowOff>
    </xdr:to>
    <xdr:pic>
      <xdr:nvPicPr>
        <xdr:cNvPr id="17" name="Imagen 1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90501"/>
          <a:ext cx="952500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485776</xdr:colOff>
      <xdr:row>1</xdr:row>
      <xdr:rowOff>9525</xdr:rowOff>
    </xdr:from>
    <xdr:to>
      <xdr:col>9</xdr:col>
      <xdr:colOff>180976</xdr:colOff>
      <xdr:row>6</xdr:row>
      <xdr:rowOff>76200</xdr:rowOff>
    </xdr:to>
    <xdr:pic>
      <xdr:nvPicPr>
        <xdr:cNvPr id="18" name="Imagen 2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1" y="171450"/>
          <a:ext cx="1162050" cy="1057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495299</xdr:colOff>
      <xdr:row>38</xdr:row>
      <xdr:rowOff>57150</xdr:rowOff>
    </xdr:from>
    <xdr:to>
      <xdr:col>2</xdr:col>
      <xdr:colOff>638175</xdr:colOff>
      <xdr:row>216</xdr:row>
      <xdr:rowOff>171450</xdr:rowOff>
    </xdr:to>
    <xdr:pic>
      <xdr:nvPicPr>
        <xdr:cNvPr id="19" name="Imagen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24" y="8867775"/>
          <a:ext cx="1076326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1</xdr:row>
      <xdr:rowOff>28576</xdr:rowOff>
    </xdr:from>
    <xdr:to>
      <xdr:col>0</xdr:col>
      <xdr:colOff>1123950</xdr:colOff>
      <xdr:row>6</xdr:row>
      <xdr:rowOff>47626</xdr:rowOff>
    </xdr:to>
    <xdr:pic>
      <xdr:nvPicPr>
        <xdr:cNvPr id="2" name="Imagen 1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90501"/>
          <a:ext cx="952500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485776</xdr:colOff>
      <xdr:row>1</xdr:row>
      <xdr:rowOff>9525</xdr:rowOff>
    </xdr:from>
    <xdr:to>
      <xdr:col>9</xdr:col>
      <xdr:colOff>180976</xdr:colOff>
      <xdr:row>6</xdr:row>
      <xdr:rowOff>76200</xdr:rowOff>
    </xdr:to>
    <xdr:pic>
      <xdr:nvPicPr>
        <xdr:cNvPr id="3" name="Imagen 2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1" y="171450"/>
          <a:ext cx="1162050" cy="1057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495299</xdr:colOff>
      <xdr:row>39</xdr:row>
      <xdr:rowOff>57150</xdr:rowOff>
    </xdr:from>
    <xdr:to>
      <xdr:col>2</xdr:col>
      <xdr:colOff>638175</xdr:colOff>
      <xdr:row>217</xdr:row>
      <xdr:rowOff>171450</xdr:rowOff>
    </xdr:to>
    <xdr:pic>
      <xdr:nvPicPr>
        <xdr:cNvPr id="4" name="Imagen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24" y="8848725"/>
          <a:ext cx="1076326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171450</xdr:colOff>
      <xdr:row>1</xdr:row>
      <xdr:rowOff>28576</xdr:rowOff>
    </xdr:from>
    <xdr:to>
      <xdr:col>0</xdr:col>
      <xdr:colOff>1123950</xdr:colOff>
      <xdr:row>6</xdr:row>
      <xdr:rowOff>47626</xdr:rowOff>
    </xdr:to>
    <xdr:pic>
      <xdr:nvPicPr>
        <xdr:cNvPr id="5" name="Imagen 1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90501"/>
          <a:ext cx="952500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485776</xdr:colOff>
      <xdr:row>1</xdr:row>
      <xdr:rowOff>9525</xdr:rowOff>
    </xdr:from>
    <xdr:to>
      <xdr:col>9</xdr:col>
      <xdr:colOff>180976</xdr:colOff>
      <xdr:row>6</xdr:row>
      <xdr:rowOff>76200</xdr:rowOff>
    </xdr:to>
    <xdr:pic>
      <xdr:nvPicPr>
        <xdr:cNvPr id="6" name="Imagen 2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1" y="171450"/>
          <a:ext cx="1162050" cy="1057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495299</xdr:colOff>
      <xdr:row>39</xdr:row>
      <xdr:rowOff>57150</xdr:rowOff>
    </xdr:from>
    <xdr:to>
      <xdr:col>2</xdr:col>
      <xdr:colOff>638175</xdr:colOff>
      <xdr:row>217</xdr:row>
      <xdr:rowOff>171450</xdr:rowOff>
    </xdr:to>
    <xdr:pic>
      <xdr:nvPicPr>
        <xdr:cNvPr id="7" name="Imagen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24" y="8848725"/>
          <a:ext cx="1076326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171450</xdr:colOff>
      <xdr:row>1</xdr:row>
      <xdr:rowOff>28576</xdr:rowOff>
    </xdr:from>
    <xdr:to>
      <xdr:col>0</xdr:col>
      <xdr:colOff>1123950</xdr:colOff>
      <xdr:row>6</xdr:row>
      <xdr:rowOff>47626</xdr:rowOff>
    </xdr:to>
    <xdr:pic>
      <xdr:nvPicPr>
        <xdr:cNvPr id="8" name="Imagen 1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90501"/>
          <a:ext cx="952500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485776</xdr:colOff>
      <xdr:row>1</xdr:row>
      <xdr:rowOff>9525</xdr:rowOff>
    </xdr:from>
    <xdr:to>
      <xdr:col>9</xdr:col>
      <xdr:colOff>180976</xdr:colOff>
      <xdr:row>6</xdr:row>
      <xdr:rowOff>76200</xdr:rowOff>
    </xdr:to>
    <xdr:pic>
      <xdr:nvPicPr>
        <xdr:cNvPr id="9" name="Imagen 2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1" y="171450"/>
          <a:ext cx="1162050" cy="1057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495299</xdr:colOff>
      <xdr:row>39</xdr:row>
      <xdr:rowOff>57150</xdr:rowOff>
    </xdr:from>
    <xdr:to>
      <xdr:col>2</xdr:col>
      <xdr:colOff>638175</xdr:colOff>
      <xdr:row>217</xdr:row>
      <xdr:rowOff>171450</xdr:rowOff>
    </xdr:to>
    <xdr:pic>
      <xdr:nvPicPr>
        <xdr:cNvPr id="10" name="Imagen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24" y="8848725"/>
          <a:ext cx="1076326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171450</xdr:colOff>
      <xdr:row>1</xdr:row>
      <xdr:rowOff>28576</xdr:rowOff>
    </xdr:from>
    <xdr:to>
      <xdr:col>0</xdr:col>
      <xdr:colOff>1123950</xdr:colOff>
      <xdr:row>6</xdr:row>
      <xdr:rowOff>47626</xdr:rowOff>
    </xdr:to>
    <xdr:pic>
      <xdr:nvPicPr>
        <xdr:cNvPr id="11" name="Imagen 1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90501"/>
          <a:ext cx="952500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485776</xdr:colOff>
      <xdr:row>1</xdr:row>
      <xdr:rowOff>9525</xdr:rowOff>
    </xdr:from>
    <xdr:to>
      <xdr:col>9</xdr:col>
      <xdr:colOff>180976</xdr:colOff>
      <xdr:row>6</xdr:row>
      <xdr:rowOff>76200</xdr:rowOff>
    </xdr:to>
    <xdr:pic>
      <xdr:nvPicPr>
        <xdr:cNvPr id="12" name="Imagen 2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1" y="171450"/>
          <a:ext cx="1162050" cy="1057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495299</xdr:colOff>
      <xdr:row>39</xdr:row>
      <xdr:rowOff>57150</xdr:rowOff>
    </xdr:from>
    <xdr:to>
      <xdr:col>2</xdr:col>
      <xdr:colOff>638175</xdr:colOff>
      <xdr:row>217</xdr:row>
      <xdr:rowOff>171450</xdr:rowOff>
    </xdr:to>
    <xdr:pic>
      <xdr:nvPicPr>
        <xdr:cNvPr id="13" name="Imagen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24" y="8848725"/>
          <a:ext cx="1076326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171450</xdr:colOff>
      <xdr:row>1</xdr:row>
      <xdr:rowOff>28576</xdr:rowOff>
    </xdr:from>
    <xdr:to>
      <xdr:col>0</xdr:col>
      <xdr:colOff>1123950</xdr:colOff>
      <xdr:row>6</xdr:row>
      <xdr:rowOff>47626</xdr:rowOff>
    </xdr:to>
    <xdr:pic>
      <xdr:nvPicPr>
        <xdr:cNvPr id="14" name="Imagen 1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90501"/>
          <a:ext cx="952500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485776</xdr:colOff>
      <xdr:row>1</xdr:row>
      <xdr:rowOff>9525</xdr:rowOff>
    </xdr:from>
    <xdr:to>
      <xdr:col>9</xdr:col>
      <xdr:colOff>180976</xdr:colOff>
      <xdr:row>6</xdr:row>
      <xdr:rowOff>76200</xdr:rowOff>
    </xdr:to>
    <xdr:pic>
      <xdr:nvPicPr>
        <xdr:cNvPr id="15" name="Imagen 2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1" y="171450"/>
          <a:ext cx="1162050" cy="1057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495299</xdr:colOff>
      <xdr:row>39</xdr:row>
      <xdr:rowOff>57150</xdr:rowOff>
    </xdr:from>
    <xdr:to>
      <xdr:col>2</xdr:col>
      <xdr:colOff>638175</xdr:colOff>
      <xdr:row>217</xdr:row>
      <xdr:rowOff>171450</xdr:rowOff>
    </xdr:to>
    <xdr:pic>
      <xdr:nvPicPr>
        <xdr:cNvPr id="16" name="Imagen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24" y="8848725"/>
          <a:ext cx="1076326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171450</xdr:colOff>
      <xdr:row>1</xdr:row>
      <xdr:rowOff>28576</xdr:rowOff>
    </xdr:from>
    <xdr:to>
      <xdr:col>0</xdr:col>
      <xdr:colOff>1123950</xdr:colOff>
      <xdr:row>6</xdr:row>
      <xdr:rowOff>47626</xdr:rowOff>
    </xdr:to>
    <xdr:pic>
      <xdr:nvPicPr>
        <xdr:cNvPr id="17" name="Imagen 1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90501"/>
          <a:ext cx="952500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485776</xdr:colOff>
      <xdr:row>1</xdr:row>
      <xdr:rowOff>9525</xdr:rowOff>
    </xdr:from>
    <xdr:to>
      <xdr:col>9</xdr:col>
      <xdr:colOff>180976</xdr:colOff>
      <xdr:row>6</xdr:row>
      <xdr:rowOff>76200</xdr:rowOff>
    </xdr:to>
    <xdr:pic>
      <xdr:nvPicPr>
        <xdr:cNvPr id="18" name="Imagen 2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1" y="171450"/>
          <a:ext cx="1162050" cy="1057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495299</xdr:colOff>
      <xdr:row>39</xdr:row>
      <xdr:rowOff>57150</xdr:rowOff>
    </xdr:from>
    <xdr:to>
      <xdr:col>2</xdr:col>
      <xdr:colOff>638175</xdr:colOff>
      <xdr:row>217</xdr:row>
      <xdr:rowOff>171450</xdr:rowOff>
    </xdr:to>
    <xdr:pic>
      <xdr:nvPicPr>
        <xdr:cNvPr id="19" name="Imagen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24" y="8848725"/>
          <a:ext cx="1076326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171450</xdr:colOff>
      <xdr:row>1</xdr:row>
      <xdr:rowOff>28576</xdr:rowOff>
    </xdr:from>
    <xdr:to>
      <xdr:col>0</xdr:col>
      <xdr:colOff>1123950</xdr:colOff>
      <xdr:row>6</xdr:row>
      <xdr:rowOff>47626</xdr:rowOff>
    </xdr:to>
    <xdr:pic>
      <xdr:nvPicPr>
        <xdr:cNvPr id="20" name="Imagen 1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90501"/>
          <a:ext cx="952500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485776</xdr:colOff>
      <xdr:row>1</xdr:row>
      <xdr:rowOff>9525</xdr:rowOff>
    </xdr:from>
    <xdr:to>
      <xdr:col>9</xdr:col>
      <xdr:colOff>180976</xdr:colOff>
      <xdr:row>6</xdr:row>
      <xdr:rowOff>76200</xdr:rowOff>
    </xdr:to>
    <xdr:pic>
      <xdr:nvPicPr>
        <xdr:cNvPr id="21" name="Imagen 2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1" y="171450"/>
          <a:ext cx="1162050" cy="1057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495299</xdr:colOff>
      <xdr:row>39</xdr:row>
      <xdr:rowOff>57150</xdr:rowOff>
    </xdr:from>
    <xdr:to>
      <xdr:col>2</xdr:col>
      <xdr:colOff>638175</xdr:colOff>
      <xdr:row>217</xdr:row>
      <xdr:rowOff>171450</xdr:rowOff>
    </xdr:to>
    <xdr:pic>
      <xdr:nvPicPr>
        <xdr:cNvPr id="22" name="Imagen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24" y="8867775"/>
          <a:ext cx="1076326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1</xdr:row>
      <xdr:rowOff>28576</xdr:rowOff>
    </xdr:from>
    <xdr:to>
      <xdr:col>0</xdr:col>
      <xdr:colOff>1123950</xdr:colOff>
      <xdr:row>6</xdr:row>
      <xdr:rowOff>47626</xdr:rowOff>
    </xdr:to>
    <xdr:pic>
      <xdr:nvPicPr>
        <xdr:cNvPr id="2" name="Imagen 1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90501"/>
          <a:ext cx="952500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485776</xdr:colOff>
      <xdr:row>1</xdr:row>
      <xdr:rowOff>9525</xdr:rowOff>
    </xdr:from>
    <xdr:to>
      <xdr:col>9</xdr:col>
      <xdr:colOff>180976</xdr:colOff>
      <xdr:row>6</xdr:row>
      <xdr:rowOff>76200</xdr:rowOff>
    </xdr:to>
    <xdr:pic>
      <xdr:nvPicPr>
        <xdr:cNvPr id="3" name="Imagen 2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1" y="171450"/>
          <a:ext cx="1162050" cy="1057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495299</xdr:colOff>
      <xdr:row>38</xdr:row>
      <xdr:rowOff>57150</xdr:rowOff>
    </xdr:from>
    <xdr:to>
      <xdr:col>2</xdr:col>
      <xdr:colOff>638175</xdr:colOff>
      <xdr:row>216</xdr:row>
      <xdr:rowOff>171450</xdr:rowOff>
    </xdr:to>
    <xdr:pic>
      <xdr:nvPicPr>
        <xdr:cNvPr id="4" name="Imagen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24" y="8848725"/>
          <a:ext cx="1076326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171450</xdr:colOff>
      <xdr:row>1</xdr:row>
      <xdr:rowOff>28576</xdr:rowOff>
    </xdr:from>
    <xdr:to>
      <xdr:col>0</xdr:col>
      <xdr:colOff>1123950</xdr:colOff>
      <xdr:row>6</xdr:row>
      <xdr:rowOff>47626</xdr:rowOff>
    </xdr:to>
    <xdr:pic>
      <xdr:nvPicPr>
        <xdr:cNvPr id="5" name="Imagen 1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90501"/>
          <a:ext cx="952500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485776</xdr:colOff>
      <xdr:row>1</xdr:row>
      <xdr:rowOff>9525</xdr:rowOff>
    </xdr:from>
    <xdr:to>
      <xdr:col>9</xdr:col>
      <xdr:colOff>180976</xdr:colOff>
      <xdr:row>6</xdr:row>
      <xdr:rowOff>76200</xdr:rowOff>
    </xdr:to>
    <xdr:pic>
      <xdr:nvPicPr>
        <xdr:cNvPr id="6" name="Imagen 2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1" y="171450"/>
          <a:ext cx="1162050" cy="1057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495299</xdr:colOff>
      <xdr:row>38</xdr:row>
      <xdr:rowOff>57150</xdr:rowOff>
    </xdr:from>
    <xdr:to>
      <xdr:col>2</xdr:col>
      <xdr:colOff>638175</xdr:colOff>
      <xdr:row>216</xdr:row>
      <xdr:rowOff>171450</xdr:rowOff>
    </xdr:to>
    <xdr:pic>
      <xdr:nvPicPr>
        <xdr:cNvPr id="7" name="Imagen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24" y="8848725"/>
          <a:ext cx="1076326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171450</xdr:colOff>
      <xdr:row>1</xdr:row>
      <xdr:rowOff>28576</xdr:rowOff>
    </xdr:from>
    <xdr:to>
      <xdr:col>0</xdr:col>
      <xdr:colOff>1123950</xdr:colOff>
      <xdr:row>6</xdr:row>
      <xdr:rowOff>47626</xdr:rowOff>
    </xdr:to>
    <xdr:pic>
      <xdr:nvPicPr>
        <xdr:cNvPr id="8" name="Imagen 1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90501"/>
          <a:ext cx="952500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485776</xdr:colOff>
      <xdr:row>1</xdr:row>
      <xdr:rowOff>9525</xdr:rowOff>
    </xdr:from>
    <xdr:to>
      <xdr:col>9</xdr:col>
      <xdr:colOff>180976</xdr:colOff>
      <xdr:row>6</xdr:row>
      <xdr:rowOff>76200</xdr:rowOff>
    </xdr:to>
    <xdr:pic>
      <xdr:nvPicPr>
        <xdr:cNvPr id="9" name="Imagen 2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1" y="171450"/>
          <a:ext cx="1162050" cy="1057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495299</xdr:colOff>
      <xdr:row>38</xdr:row>
      <xdr:rowOff>57150</xdr:rowOff>
    </xdr:from>
    <xdr:to>
      <xdr:col>2</xdr:col>
      <xdr:colOff>638175</xdr:colOff>
      <xdr:row>216</xdr:row>
      <xdr:rowOff>171450</xdr:rowOff>
    </xdr:to>
    <xdr:pic>
      <xdr:nvPicPr>
        <xdr:cNvPr id="10" name="Imagen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24" y="8848725"/>
          <a:ext cx="1076326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171450</xdr:colOff>
      <xdr:row>1</xdr:row>
      <xdr:rowOff>28576</xdr:rowOff>
    </xdr:from>
    <xdr:to>
      <xdr:col>0</xdr:col>
      <xdr:colOff>1123950</xdr:colOff>
      <xdr:row>6</xdr:row>
      <xdr:rowOff>47626</xdr:rowOff>
    </xdr:to>
    <xdr:pic>
      <xdr:nvPicPr>
        <xdr:cNvPr id="11" name="Imagen 1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90501"/>
          <a:ext cx="952500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485776</xdr:colOff>
      <xdr:row>1</xdr:row>
      <xdr:rowOff>9525</xdr:rowOff>
    </xdr:from>
    <xdr:to>
      <xdr:col>9</xdr:col>
      <xdr:colOff>180976</xdr:colOff>
      <xdr:row>6</xdr:row>
      <xdr:rowOff>76200</xdr:rowOff>
    </xdr:to>
    <xdr:pic>
      <xdr:nvPicPr>
        <xdr:cNvPr id="12" name="Imagen 2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1" y="171450"/>
          <a:ext cx="1162050" cy="1057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495299</xdr:colOff>
      <xdr:row>38</xdr:row>
      <xdr:rowOff>57150</xdr:rowOff>
    </xdr:from>
    <xdr:to>
      <xdr:col>2</xdr:col>
      <xdr:colOff>638175</xdr:colOff>
      <xdr:row>216</xdr:row>
      <xdr:rowOff>171450</xdr:rowOff>
    </xdr:to>
    <xdr:pic>
      <xdr:nvPicPr>
        <xdr:cNvPr id="13" name="Imagen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24" y="8848725"/>
          <a:ext cx="1076326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171450</xdr:colOff>
      <xdr:row>1</xdr:row>
      <xdr:rowOff>28576</xdr:rowOff>
    </xdr:from>
    <xdr:to>
      <xdr:col>0</xdr:col>
      <xdr:colOff>1123950</xdr:colOff>
      <xdr:row>6</xdr:row>
      <xdr:rowOff>47626</xdr:rowOff>
    </xdr:to>
    <xdr:pic>
      <xdr:nvPicPr>
        <xdr:cNvPr id="14" name="Imagen 1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90501"/>
          <a:ext cx="952500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485776</xdr:colOff>
      <xdr:row>1</xdr:row>
      <xdr:rowOff>9525</xdr:rowOff>
    </xdr:from>
    <xdr:to>
      <xdr:col>9</xdr:col>
      <xdr:colOff>180976</xdr:colOff>
      <xdr:row>6</xdr:row>
      <xdr:rowOff>76200</xdr:rowOff>
    </xdr:to>
    <xdr:pic>
      <xdr:nvPicPr>
        <xdr:cNvPr id="15" name="Imagen 2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1" y="171450"/>
          <a:ext cx="1162050" cy="1057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495299</xdr:colOff>
      <xdr:row>38</xdr:row>
      <xdr:rowOff>57150</xdr:rowOff>
    </xdr:from>
    <xdr:to>
      <xdr:col>2</xdr:col>
      <xdr:colOff>638175</xdr:colOff>
      <xdr:row>216</xdr:row>
      <xdr:rowOff>171450</xdr:rowOff>
    </xdr:to>
    <xdr:pic>
      <xdr:nvPicPr>
        <xdr:cNvPr id="16" name="Imagen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24" y="8848725"/>
          <a:ext cx="1076326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171450</xdr:colOff>
      <xdr:row>1</xdr:row>
      <xdr:rowOff>28576</xdr:rowOff>
    </xdr:from>
    <xdr:to>
      <xdr:col>0</xdr:col>
      <xdr:colOff>1123950</xdr:colOff>
      <xdr:row>6</xdr:row>
      <xdr:rowOff>47626</xdr:rowOff>
    </xdr:to>
    <xdr:pic>
      <xdr:nvPicPr>
        <xdr:cNvPr id="17" name="Imagen 1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90501"/>
          <a:ext cx="952500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485776</xdr:colOff>
      <xdr:row>1</xdr:row>
      <xdr:rowOff>9525</xdr:rowOff>
    </xdr:from>
    <xdr:to>
      <xdr:col>9</xdr:col>
      <xdr:colOff>180976</xdr:colOff>
      <xdr:row>6</xdr:row>
      <xdr:rowOff>76200</xdr:rowOff>
    </xdr:to>
    <xdr:pic>
      <xdr:nvPicPr>
        <xdr:cNvPr id="18" name="Imagen 2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1" y="171450"/>
          <a:ext cx="1162050" cy="1057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495299</xdr:colOff>
      <xdr:row>38</xdr:row>
      <xdr:rowOff>57150</xdr:rowOff>
    </xdr:from>
    <xdr:to>
      <xdr:col>2</xdr:col>
      <xdr:colOff>638175</xdr:colOff>
      <xdr:row>216</xdr:row>
      <xdr:rowOff>171450</xdr:rowOff>
    </xdr:to>
    <xdr:pic>
      <xdr:nvPicPr>
        <xdr:cNvPr id="19" name="Imagen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24" y="8848725"/>
          <a:ext cx="1076326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171450</xdr:colOff>
      <xdr:row>1</xdr:row>
      <xdr:rowOff>28576</xdr:rowOff>
    </xdr:from>
    <xdr:to>
      <xdr:col>0</xdr:col>
      <xdr:colOff>1123950</xdr:colOff>
      <xdr:row>6</xdr:row>
      <xdr:rowOff>47626</xdr:rowOff>
    </xdr:to>
    <xdr:pic>
      <xdr:nvPicPr>
        <xdr:cNvPr id="20" name="Imagen 1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90501"/>
          <a:ext cx="952500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485776</xdr:colOff>
      <xdr:row>1</xdr:row>
      <xdr:rowOff>9525</xdr:rowOff>
    </xdr:from>
    <xdr:to>
      <xdr:col>9</xdr:col>
      <xdr:colOff>180976</xdr:colOff>
      <xdr:row>6</xdr:row>
      <xdr:rowOff>76200</xdr:rowOff>
    </xdr:to>
    <xdr:pic>
      <xdr:nvPicPr>
        <xdr:cNvPr id="21" name="Imagen 2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1" y="171450"/>
          <a:ext cx="1162050" cy="1057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495299</xdr:colOff>
      <xdr:row>38</xdr:row>
      <xdr:rowOff>57150</xdr:rowOff>
    </xdr:from>
    <xdr:to>
      <xdr:col>2</xdr:col>
      <xdr:colOff>638175</xdr:colOff>
      <xdr:row>216</xdr:row>
      <xdr:rowOff>171450</xdr:rowOff>
    </xdr:to>
    <xdr:pic>
      <xdr:nvPicPr>
        <xdr:cNvPr id="22" name="Imagen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24" y="8848725"/>
          <a:ext cx="1076326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171450</xdr:colOff>
      <xdr:row>1</xdr:row>
      <xdr:rowOff>28576</xdr:rowOff>
    </xdr:from>
    <xdr:to>
      <xdr:col>0</xdr:col>
      <xdr:colOff>1123950</xdr:colOff>
      <xdr:row>6</xdr:row>
      <xdr:rowOff>47626</xdr:rowOff>
    </xdr:to>
    <xdr:pic>
      <xdr:nvPicPr>
        <xdr:cNvPr id="23" name="Imagen 1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90501"/>
          <a:ext cx="952500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485776</xdr:colOff>
      <xdr:row>1</xdr:row>
      <xdr:rowOff>9525</xdr:rowOff>
    </xdr:from>
    <xdr:to>
      <xdr:col>9</xdr:col>
      <xdr:colOff>180976</xdr:colOff>
      <xdr:row>6</xdr:row>
      <xdr:rowOff>76200</xdr:rowOff>
    </xdr:to>
    <xdr:pic>
      <xdr:nvPicPr>
        <xdr:cNvPr id="24" name="Imagen 2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1" y="171450"/>
          <a:ext cx="1162050" cy="1057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495299</xdr:colOff>
      <xdr:row>38</xdr:row>
      <xdr:rowOff>57150</xdr:rowOff>
    </xdr:from>
    <xdr:to>
      <xdr:col>2</xdr:col>
      <xdr:colOff>638175</xdr:colOff>
      <xdr:row>216</xdr:row>
      <xdr:rowOff>171450</xdr:rowOff>
    </xdr:to>
    <xdr:pic>
      <xdr:nvPicPr>
        <xdr:cNvPr id="25" name="Imagen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24" y="8896350"/>
          <a:ext cx="1076326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1</xdr:row>
      <xdr:rowOff>28576</xdr:rowOff>
    </xdr:from>
    <xdr:to>
      <xdr:col>0</xdr:col>
      <xdr:colOff>1123950</xdr:colOff>
      <xdr:row>6</xdr:row>
      <xdr:rowOff>47626</xdr:rowOff>
    </xdr:to>
    <xdr:pic>
      <xdr:nvPicPr>
        <xdr:cNvPr id="2" name="Imagen 1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90501"/>
          <a:ext cx="952500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485776</xdr:colOff>
      <xdr:row>1</xdr:row>
      <xdr:rowOff>9525</xdr:rowOff>
    </xdr:from>
    <xdr:to>
      <xdr:col>9</xdr:col>
      <xdr:colOff>180976</xdr:colOff>
      <xdr:row>6</xdr:row>
      <xdr:rowOff>76200</xdr:rowOff>
    </xdr:to>
    <xdr:pic>
      <xdr:nvPicPr>
        <xdr:cNvPr id="3" name="Imagen 2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1" y="171450"/>
          <a:ext cx="1162050" cy="1057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495299</xdr:colOff>
      <xdr:row>38</xdr:row>
      <xdr:rowOff>57150</xdr:rowOff>
    </xdr:from>
    <xdr:to>
      <xdr:col>2</xdr:col>
      <xdr:colOff>638175</xdr:colOff>
      <xdr:row>216</xdr:row>
      <xdr:rowOff>171450</xdr:rowOff>
    </xdr:to>
    <xdr:pic>
      <xdr:nvPicPr>
        <xdr:cNvPr id="4" name="Imagen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24" y="9048750"/>
          <a:ext cx="1076326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171450</xdr:colOff>
      <xdr:row>1</xdr:row>
      <xdr:rowOff>28576</xdr:rowOff>
    </xdr:from>
    <xdr:to>
      <xdr:col>0</xdr:col>
      <xdr:colOff>1123950</xdr:colOff>
      <xdr:row>6</xdr:row>
      <xdr:rowOff>47626</xdr:rowOff>
    </xdr:to>
    <xdr:pic>
      <xdr:nvPicPr>
        <xdr:cNvPr id="5" name="Imagen 1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90501"/>
          <a:ext cx="952500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485776</xdr:colOff>
      <xdr:row>1</xdr:row>
      <xdr:rowOff>9525</xdr:rowOff>
    </xdr:from>
    <xdr:to>
      <xdr:col>9</xdr:col>
      <xdr:colOff>180976</xdr:colOff>
      <xdr:row>6</xdr:row>
      <xdr:rowOff>76200</xdr:rowOff>
    </xdr:to>
    <xdr:pic>
      <xdr:nvPicPr>
        <xdr:cNvPr id="6" name="Imagen 2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1" y="171450"/>
          <a:ext cx="1162050" cy="1057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495299</xdr:colOff>
      <xdr:row>38</xdr:row>
      <xdr:rowOff>57150</xdr:rowOff>
    </xdr:from>
    <xdr:to>
      <xdr:col>2</xdr:col>
      <xdr:colOff>638175</xdr:colOff>
      <xdr:row>216</xdr:row>
      <xdr:rowOff>171450</xdr:rowOff>
    </xdr:to>
    <xdr:pic>
      <xdr:nvPicPr>
        <xdr:cNvPr id="7" name="Imagen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24" y="9048750"/>
          <a:ext cx="1076326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171450</xdr:colOff>
      <xdr:row>1</xdr:row>
      <xdr:rowOff>28576</xdr:rowOff>
    </xdr:from>
    <xdr:to>
      <xdr:col>0</xdr:col>
      <xdr:colOff>1123950</xdr:colOff>
      <xdr:row>6</xdr:row>
      <xdr:rowOff>47626</xdr:rowOff>
    </xdr:to>
    <xdr:pic>
      <xdr:nvPicPr>
        <xdr:cNvPr id="8" name="Imagen 1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90501"/>
          <a:ext cx="952500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485776</xdr:colOff>
      <xdr:row>1</xdr:row>
      <xdr:rowOff>9525</xdr:rowOff>
    </xdr:from>
    <xdr:to>
      <xdr:col>9</xdr:col>
      <xdr:colOff>180976</xdr:colOff>
      <xdr:row>6</xdr:row>
      <xdr:rowOff>76200</xdr:rowOff>
    </xdr:to>
    <xdr:pic>
      <xdr:nvPicPr>
        <xdr:cNvPr id="9" name="Imagen 2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1" y="171450"/>
          <a:ext cx="1162050" cy="1057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495299</xdr:colOff>
      <xdr:row>38</xdr:row>
      <xdr:rowOff>57150</xdr:rowOff>
    </xdr:from>
    <xdr:to>
      <xdr:col>2</xdr:col>
      <xdr:colOff>638175</xdr:colOff>
      <xdr:row>216</xdr:row>
      <xdr:rowOff>171450</xdr:rowOff>
    </xdr:to>
    <xdr:pic>
      <xdr:nvPicPr>
        <xdr:cNvPr id="10" name="Imagen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24" y="9048750"/>
          <a:ext cx="1076326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171450</xdr:colOff>
      <xdr:row>1</xdr:row>
      <xdr:rowOff>28576</xdr:rowOff>
    </xdr:from>
    <xdr:to>
      <xdr:col>0</xdr:col>
      <xdr:colOff>1123950</xdr:colOff>
      <xdr:row>6</xdr:row>
      <xdr:rowOff>47626</xdr:rowOff>
    </xdr:to>
    <xdr:pic>
      <xdr:nvPicPr>
        <xdr:cNvPr id="11" name="Imagen 1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90501"/>
          <a:ext cx="952500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485776</xdr:colOff>
      <xdr:row>1</xdr:row>
      <xdr:rowOff>9525</xdr:rowOff>
    </xdr:from>
    <xdr:to>
      <xdr:col>9</xdr:col>
      <xdr:colOff>180976</xdr:colOff>
      <xdr:row>6</xdr:row>
      <xdr:rowOff>76200</xdr:rowOff>
    </xdr:to>
    <xdr:pic>
      <xdr:nvPicPr>
        <xdr:cNvPr id="12" name="Imagen 2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1" y="171450"/>
          <a:ext cx="1162050" cy="1057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495299</xdr:colOff>
      <xdr:row>38</xdr:row>
      <xdr:rowOff>57150</xdr:rowOff>
    </xdr:from>
    <xdr:to>
      <xdr:col>2</xdr:col>
      <xdr:colOff>638175</xdr:colOff>
      <xdr:row>216</xdr:row>
      <xdr:rowOff>171450</xdr:rowOff>
    </xdr:to>
    <xdr:pic>
      <xdr:nvPicPr>
        <xdr:cNvPr id="13" name="Imagen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24" y="9048750"/>
          <a:ext cx="1076326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171450</xdr:colOff>
      <xdr:row>1</xdr:row>
      <xdr:rowOff>28576</xdr:rowOff>
    </xdr:from>
    <xdr:to>
      <xdr:col>0</xdr:col>
      <xdr:colOff>1123950</xdr:colOff>
      <xdr:row>6</xdr:row>
      <xdr:rowOff>47626</xdr:rowOff>
    </xdr:to>
    <xdr:pic>
      <xdr:nvPicPr>
        <xdr:cNvPr id="14" name="Imagen 1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90501"/>
          <a:ext cx="952500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485776</xdr:colOff>
      <xdr:row>1</xdr:row>
      <xdr:rowOff>9525</xdr:rowOff>
    </xdr:from>
    <xdr:to>
      <xdr:col>9</xdr:col>
      <xdr:colOff>180976</xdr:colOff>
      <xdr:row>6</xdr:row>
      <xdr:rowOff>76200</xdr:rowOff>
    </xdr:to>
    <xdr:pic>
      <xdr:nvPicPr>
        <xdr:cNvPr id="15" name="Imagen 2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1" y="171450"/>
          <a:ext cx="1162050" cy="1057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495299</xdr:colOff>
      <xdr:row>38</xdr:row>
      <xdr:rowOff>57150</xdr:rowOff>
    </xdr:from>
    <xdr:to>
      <xdr:col>2</xdr:col>
      <xdr:colOff>638175</xdr:colOff>
      <xdr:row>216</xdr:row>
      <xdr:rowOff>171450</xdr:rowOff>
    </xdr:to>
    <xdr:pic>
      <xdr:nvPicPr>
        <xdr:cNvPr id="16" name="Imagen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24" y="9048750"/>
          <a:ext cx="1076326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171450</xdr:colOff>
      <xdr:row>1</xdr:row>
      <xdr:rowOff>28576</xdr:rowOff>
    </xdr:from>
    <xdr:to>
      <xdr:col>0</xdr:col>
      <xdr:colOff>1123950</xdr:colOff>
      <xdr:row>6</xdr:row>
      <xdr:rowOff>47626</xdr:rowOff>
    </xdr:to>
    <xdr:pic>
      <xdr:nvPicPr>
        <xdr:cNvPr id="17" name="Imagen 1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90501"/>
          <a:ext cx="952500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485776</xdr:colOff>
      <xdr:row>1</xdr:row>
      <xdr:rowOff>9525</xdr:rowOff>
    </xdr:from>
    <xdr:to>
      <xdr:col>9</xdr:col>
      <xdr:colOff>180976</xdr:colOff>
      <xdr:row>6</xdr:row>
      <xdr:rowOff>76200</xdr:rowOff>
    </xdr:to>
    <xdr:pic>
      <xdr:nvPicPr>
        <xdr:cNvPr id="18" name="Imagen 2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1" y="171450"/>
          <a:ext cx="1162050" cy="1057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495299</xdr:colOff>
      <xdr:row>38</xdr:row>
      <xdr:rowOff>57150</xdr:rowOff>
    </xdr:from>
    <xdr:to>
      <xdr:col>2</xdr:col>
      <xdr:colOff>638175</xdr:colOff>
      <xdr:row>216</xdr:row>
      <xdr:rowOff>171450</xdr:rowOff>
    </xdr:to>
    <xdr:pic>
      <xdr:nvPicPr>
        <xdr:cNvPr id="19" name="Imagen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24" y="9048750"/>
          <a:ext cx="1076326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171450</xdr:colOff>
      <xdr:row>1</xdr:row>
      <xdr:rowOff>28576</xdr:rowOff>
    </xdr:from>
    <xdr:to>
      <xdr:col>0</xdr:col>
      <xdr:colOff>1123950</xdr:colOff>
      <xdr:row>6</xdr:row>
      <xdr:rowOff>47626</xdr:rowOff>
    </xdr:to>
    <xdr:pic>
      <xdr:nvPicPr>
        <xdr:cNvPr id="20" name="Imagen 1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90501"/>
          <a:ext cx="952500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485776</xdr:colOff>
      <xdr:row>1</xdr:row>
      <xdr:rowOff>9525</xdr:rowOff>
    </xdr:from>
    <xdr:to>
      <xdr:col>9</xdr:col>
      <xdr:colOff>180976</xdr:colOff>
      <xdr:row>6</xdr:row>
      <xdr:rowOff>76200</xdr:rowOff>
    </xdr:to>
    <xdr:pic>
      <xdr:nvPicPr>
        <xdr:cNvPr id="21" name="Imagen 2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1" y="171450"/>
          <a:ext cx="1162050" cy="1057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495299</xdr:colOff>
      <xdr:row>38</xdr:row>
      <xdr:rowOff>57150</xdr:rowOff>
    </xdr:from>
    <xdr:to>
      <xdr:col>2</xdr:col>
      <xdr:colOff>638175</xdr:colOff>
      <xdr:row>216</xdr:row>
      <xdr:rowOff>171450</xdr:rowOff>
    </xdr:to>
    <xdr:pic>
      <xdr:nvPicPr>
        <xdr:cNvPr id="22" name="Imagen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24" y="9048750"/>
          <a:ext cx="1076326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171450</xdr:colOff>
      <xdr:row>1</xdr:row>
      <xdr:rowOff>28576</xdr:rowOff>
    </xdr:from>
    <xdr:to>
      <xdr:col>0</xdr:col>
      <xdr:colOff>1123950</xdr:colOff>
      <xdr:row>6</xdr:row>
      <xdr:rowOff>47626</xdr:rowOff>
    </xdr:to>
    <xdr:pic>
      <xdr:nvPicPr>
        <xdr:cNvPr id="23" name="Imagen 19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90501"/>
          <a:ext cx="952500" cy="1009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7</xdr:col>
      <xdr:colOff>485776</xdr:colOff>
      <xdr:row>1</xdr:row>
      <xdr:rowOff>9525</xdr:rowOff>
    </xdr:from>
    <xdr:to>
      <xdr:col>9</xdr:col>
      <xdr:colOff>180976</xdr:colOff>
      <xdr:row>6</xdr:row>
      <xdr:rowOff>76200</xdr:rowOff>
    </xdr:to>
    <xdr:pic>
      <xdr:nvPicPr>
        <xdr:cNvPr id="24" name="Imagen 2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91201" y="171450"/>
          <a:ext cx="1162050" cy="1057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495299</xdr:colOff>
      <xdr:row>38</xdr:row>
      <xdr:rowOff>57150</xdr:rowOff>
    </xdr:from>
    <xdr:to>
      <xdr:col>2</xdr:col>
      <xdr:colOff>638175</xdr:colOff>
      <xdr:row>216</xdr:row>
      <xdr:rowOff>171450</xdr:rowOff>
    </xdr:to>
    <xdr:pic>
      <xdr:nvPicPr>
        <xdr:cNvPr id="25" name="Imagen 22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7824" y="9048750"/>
          <a:ext cx="1076326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Vertex42">
  <a:themeElements>
    <a:clrScheme name="V42-Blue2">
      <a:dk1>
        <a:sysClr val="windowText" lastClr="000000"/>
      </a:dk1>
      <a:lt1>
        <a:sysClr val="window" lastClr="FFFFFF"/>
      </a:lt1>
      <a:dk2>
        <a:srgbClr val="5E8BCE"/>
      </a:dk2>
      <a:lt2>
        <a:srgbClr val="EEECE2"/>
      </a:lt2>
      <a:accent1>
        <a:srgbClr val="3A5D9C"/>
      </a:accent1>
      <a:accent2>
        <a:srgbClr val="C04E4E"/>
      </a:accent2>
      <a:accent3>
        <a:srgbClr val="3D8A16"/>
      </a:accent3>
      <a:accent4>
        <a:srgbClr val="7860B4"/>
      </a:accent4>
      <a:accent5>
        <a:srgbClr val="E68422"/>
      </a:accent5>
      <a:accent6>
        <a:srgbClr val="846648"/>
      </a:accent6>
      <a:hlink>
        <a:srgbClr val="4C92AE"/>
      </a:hlink>
      <a:folHlink>
        <a:srgbClr val="969696"/>
      </a:folHlink>
    </a:clrScheme>
    <a:fontScheme name="Vertex42">
      <a:majorFont>
        <a:latin typeface="Arial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sociacionindigenalewashii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asociacionindigenalewashii@gmail.co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asociacionindigenalewashii@gmail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asociacionindigenalewashii@gmail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asociacionindigenalewashii@gmail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asociacionindigenalewashii@gmail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asociacionindigenalewashii@gmail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asociacionindigenalewashii@gmail.com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asociacionindigenalewashii@gmail.com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20"/>
  <sheetViews>
    <sheetView showGridLines="0" view="pageBreakPreview" topLeftCell="A7" zoomScaleNormal="100" zoomScaleSheetLayoutView="100" workbookViewId="0">
      <selection activeCell="D35" sqref="D35"/>
    </sheetView>
  </sheetViews>
  <sheetFormatPr baseColWidth="10" defaultColWidth="9.140625" defaultRowHeight="12.75" x14ac:dyDescent="0.2"/>
  <cols>
    <col min="1" max="1" width="17.28515625" style="14" customWidth="1"/>
    <col min="2" max="2" width="14" style="14" customWidth="1"/>
    <col min="3" max="3" width="10.42578125" style="14" customWidth="1"/>
    <col min="4" max="4" width="8.7109375" style="14" customWidth="1"/>
    <col min="5" max="5" width="13.28515625" style="14" customWidth="1"/>
    <col min="6" max="6" width="12.5703125" style="14" customWidth="1"/>
    <col min="7" max="7" width="3.28515625" style="14" bestFit="1" customWidth="1"/>
    <col min="8" max="8" width="7.85546875" style="14" customWidth="1"/>
    <col min="9" max="9" width="14.140625" style="14" customWidth="1"/>
    <col min="10" max="10" width="3.140625" style="14" customWidth="1"/>
    <col min="11" max="11" width="5.5703125" style="14" customWidth="1"/>
    <col min="12" max="12" width="15.7109375" style="14" customWidth="1"/>
    <col min="13" max="16384" width="9.140625" style="14"/>
  </cols>
  <sheetData>
    <row r="1" spans="1:12" x14ac:dyDescent="0.2">
      <c r="A1" s="41"/>
      <c r="B1" s="42"/>
      <c r="C1" s="42"/>
      <c r="D1" s="42"/>
      <c r="E1" s="42"/>
      <c r="F1" s="42"/>
      <c r="G1" s="42"/>
      <c r="H1" s="42"/>
      <c r="I1" s="42"/>
    </row>
    <row r="2" spans="1:12" x14ac:dyDescent="0.2">
      <c r="A2" s="41"/>
      <c r="B2" s="41"/>
      <c r="C2" s="41"/>
      <c r="D2" s="41"/>
      <c r="E2" s="41"/>
      <c r="F2" s="41"/>
      <c r="G2" s="41"/>
      <c r="H2" s="41"/>
      <c r="I2" s="41"/>
    </row>
    <row r="3" spans="1:12" ht="15.75" x14ac:dyDescent="0.2">
      <c r="A3" s="131" t="s">
        <v>26</v>
      </c>
      <c r="B3" s="131"/>
      <c r="C3" s="131"/>
      <c r="D3" s="131"/>
      <c r="E3" s="131"/>
      <c r="F3" s="131"/>
      <c r="G3" s="131"/>
      <c r="H3" s="131"/>
      <c r="I3" s="131"/>
      <c r="J3" s="131"/>
    </row>
    <row r="4" spans="1:12" ht="18.75" x14ac:dyDescent="0.2">
      <c r="A4" s="130" t="s">
        <v>27</v>
      </c>
      <c r="B4" s="130"/>
      <c r="C4" s="130"/>
      <c r="D4" s="130"/>
      <c r="E4" s="130"/>
      <c r="F4" s="130"/>
      <c r="G4" s="130"/>
      <c r="H4" s="130"/>
      <c r="I4" s="130"/>
      <c r="J4" s="130"/>
    </row>
    <row r="5" spans="1:12" ht="15" x14ac:dyDescent="0.2">
      <c r="A5" s="129" t="s">
        <v>28</v>
      </c>
      <c r="B5" s="129"/>
      <c r="C5" s="129"/>
      <c r="D5" s="129"/>
      <c r="E5" s="129"/>
      <c r="F5" s="129"/>
      <c r="G5" s="129"/>
      <c r="H5" s="129"/>
      <c r="I5" s="129"/>
      <c r="J5" s="129"/>
    </row>
    <row r="6" spans="1:12" ht="15.75" x14ac:dyDescent="0.2">
      <c r="A6" s="131" t="s">
        <v>29</v>
      </c>
      <c r="B6" s="131"/>
      <c r="C6" s="131"/>
      <c r="D6" s="131"/>
      <c r="E6" s="131"/>
      <c r="F6" s="131"/>
      <c r="G6" s="131"/>
      <c r="H6" s="131"/>
      <c r="I6" s="131"/>
      <c r="J6" s="131"/>
    </row>
    <row r="7" spans="1:12" ht="18.75" x14ac:dyDescent="0.3">
      <c r="A7" s="151" t="s">
        <v>30</v>
      </c>
      <c r="B7" s="151"/>
      <c r="C7" s="151"/>
      <c r="D7" s="151"/>
      <c r="E7" s="151"/>
      <c r="F7" s="151"/>
      <c r="G7" s="151"/>
      <c r="H7" s="151"/>
      <c r="I7" s="151"/>
      <c r="J7" s="151"/>
    </row>
    <row r="8" spans="1:12" ht="8.25" customHeight="1" thickBot="1" x14ac:dyDescent="0.25"/>
    <row r="9" spans="1:12" ht="30.75" thickTop="1" x14ac:dyDescent="0.4">
      <c r="A9" s="74" t="s">
        <v>57</v>
      </c>
      <c r="B9" s="75"/>
      <c r="C9" s="75"/>
      <c r="D9" s="75"/>
      <c r="E9" s="75"/>
      <c r="F9" s="75"/>
      <c r="G9" s="146" t="s">
        <v>90</v>
      </c>
      <c r="H9" s="146"/>
      <c r="I9" s="146"/>
      <c r="J9" s="147"/>
    </row>
    <row r="10" spans="1:12" ht="23.25" x14ac:dyDescent="0.35">
      <c r="A10" s="43" t="s">
        <v>20</v>
      </c>
      <c r="B10" s="153" t="s">
        <v>91</v>
      </c>
      <c r="C10" s="153"/>
      <c r="D10" s="153"/>
      <c r="E10" s="153"/>
      <c r="F10" s="153"/>
      <c r="G10" s="153"/>
      <c r="H10" s="153"/>
      <c r="I10" s="153"/>
      <c r="J10" s="44"/>
    </row>
    <row r="11" spans="1:12" s="17" customFormat="1" ht="14.25" x14ac:dyDescent="0.2">
      <c r="A11" s="45"/>
      <c r="B11" s="8"/>
      <c r="C11" s="8"/>
      <c r="D11" s="8"/>
      <c r="E11" s="8"/>
      <c r="F11" s="8"/>
      <c r="G11" s="8"/>
      <c r="H11" s="8"/>
      <c r="I11" s="8"/>
      <c r="J11" s="46"/>
      <c r="L11" s="18"/>
    </row>
    <row r="12" spans="1:12" s="17" customFormat="1" ht="21.95" customHeight="1" x14ac:dyDescent="0.25">
      <c r="A12" s="47" t="s">
        <v>19</v>
      </c>
      <c r="B12" s="122" t="s">
        <v>45</v>
      </c>
      <c r="C12" s="122"/>
      <c r="D12" s="122"/>
      <c r="E12" s="122"/>
      <c r="F12" s="123" t="s">
        <v>3</v>
      </c>
      <c r="G12" s="124"/>
      <c r="H12" s="154">
        <f>+H28</f>
        <v>1900000</v>
      </c>
      <c r="I12" s="155"/>
      <c r="J12" s="48"/>
      <c r="L12" s="72"/>
    </row>
    <row r="13" spans="1:12" s="17" customFormat="1" ht="21.95" customHeight="1" x14ac:dyDescent="0.25">
      <c r="A13" s="47" t="s">
        <v>35</v>
      </c>
      <c r="B13" s="152">
        <v>1118846783</v>
      </c>
      <c r="C13" s="152"/>
      <c r="D13" s="1" t="s">
        <v>38</v>
      </c>
      <c r="E13" s="1"/>
      <c r="F13" s="73" t="s">
        <v>46</v>
      </c>
      <c r="G13" s="2"/>
      <c r="H13" s="3"/>
      <c r="I13" s="3"/>
      <c r="J13" s="48"/>
      <c r="L13" s="73" t="s">
        <v>46</v>
      </c>
    </row>
    <row r="14" spans="1:12" s="17" customFormat="1" ht="21.95" customHeight="1" x14ac:dyDescent="0.25">
      <c r="A14" s="49" t="s">
        <v>3</v>
      </c>
      <c r="B14" s="115" t="str">
        <f>PESOSMN(H12)</f>
        <v>Un Millón Novecientos Mil Pesos 00/100</v>
      </c>
      <c r="C14" s="115"/>
      <c r="D14" s="115"/>
      <c r="E14" s="115"/>
      <c r="F14" s="115"/>
      <c r="G14" s="115"/>
      <c r="H14" s="115"/>
      <c r="I14" s="115"/>
      <c r="J14" s="50"/>
    </row>
    <row r="15" spans="1:12" s="17" customFormat="1" ht="15" thickBot="1" x14ac:dyDescent="0.25">
      <c r="A15" s="45"/>
      <c r="B15" s="8"/>
      <c r="C15" s="8"/>
      <c r="D15" s="8"/>
      <c r="E15" s="8"/>
      <c r="F15" s="8"/>
      <c r="G15" s="8"/>
      <c r="H15" s="8"/>
      <c r="I15" s="8"/>
      <c r="J15" s="46"/>
    </row>
    <row r="16" spans="1:12" s="17" customFormat="1" ht="16.5" thickTop="1" x14ac:dyDescent="0.25">
      <c r="A16" s="47" t="s">
        <v>6</v>
      </c>
      <c r="B16" s="156" t="s">
        <v>81</v>
      </c>
      <c r="C16" s="157"/>
      <c r="D16" s="157"/>
      <c r="E16" s="157"/>
      <c r="F16" s="157"/>
      <c r="G16" s="157"/>
      <c r="H16" s="157"/>
      <c r="I16" s="158"/>
      <c r="J16" s="46"/>
    </row>
    <row r="17" spans="1:10" s="17" customFormat="1" ht="15" x14ac:dyDescent="0.25">
      <c r="A17" s="51"/>
      <c r="B17" s="159"/>
      <c r="C17" s="160"/>
      <c r="D17" s="160"/>
      <c r="E17" s="160"/>
      <c r="F17" s="160"/>
      <c r="G17" s="160"/>
      <c r="H17" s="160"/>
      <c r="I17" s="161"/>
      <c r="J17" s="46"/>
    </row>
    <row r="18" spans="1:10" s="17" customFormat="1" ht="15.75" thickBot="1" x14ac:dyDescent="0.3">
      <c r="A18" s="51"/>
      <c r="B18" s="162"/>
      <c r="C18" s="163"/>
      <c r="D18" s="163"/>
      <c r="E18" s="163"/>
      <c r="F18" s="163"/>
      <c r="G18" s="163"/>
      <c r="H18" s="163"/>
      <c r="I18" s="164"/>
      <c r="J18" s="46"/>
    </row>
    <row r="19" spans="1:10" s="17" customFormat="1" ht="15.75" thickTop="1" x14ac:dyDescent="0.25">
      <c r="A19" s="51"/>
      <c r="B19" s="4"/>
      <c r="C19" s="4"/>
      <c r="D19" s="4"/>
      <c r="E19" s="4"/>
      <c r="F19" s="4"/>
      <c r="G19" s="4"/>
      <c r="H19" s="4"/>
      <c r="I19" s="4"/>
      <c r="J19" s="46"/>
    </row>
    <row r="20" spans="1:10" s="17" customFormat="1" ht="18" x14ac:dyDescent="0.25">
      <c r="A20" s="105" t="s">
        <v>42</v>
      </c>
      <c r="B20" s="106"/>
      <c r="C20" s="106"/>
      <c r="D20" s="106"/>
      <c r="E20" s="106"/>
      <c r="F20" s="106"/>
      <c r="G20" s="4"/>
      <c r="H20" s="154">
        <f>+ROUND(H22/(1+F21),0)</f>
        <v>1800000</v>
      </c>
      <c r="I20" s="155"/>
      <c r="J20" s="46"/>
    </row>
    <row r="21" spans="1:10" s="17" customFormat="1" ht="18" x14ac:dyDescent="0.25">
      <c r="A21" s="105" t="s">
        <v>37</v>
      </c>
      <c r="B21" s="106"/>
      <c r="C21" s="106"/>
      <c r="D21" s="106"/>
      <c r="E21" s="106"/>
      <c r="F21" s="5">
        <v>0</v>
      </c>
      <c r="G21" s="22"/>
      <c r="H21" s="144">
        <f>+ROUND(F21*H20,0)</f>
        <v>0</v>
      </c>
      <c r="I21" s="145"/>
      <c r="J21" s="46"/>
    </row>
    <row r="22" spans="1:10" s="17" customFormat="1" ht="18" x14ac:dyDescent="0.25">
      <c r="A22" s="105" t="s">
        <v>72</v>
      </c>
      <c r="B22" s="106"/>
      <c r="C22" s="106"/>
      <c r="D22" s="106"/>
      <c r="E22" s="106"/>
      <c r="F22" s="4"/>
      <c r="G22" s="4"/>
      <c r="H22" s="107">
        <v>1800000</v>
      </c>
      <c r="I22" s="108"/>
      <c r="J22" s="46"/>
    </row>
    <row r="23" spans="1:10" s="17" customFormat="1" ht="18" x14ac:dyDescent="0.25">
      <c r="A23" s="105" t="s">
        <v>43</v>
      </c>
      <c r="B23" s="106"/>
      <c r="C23" s="106"/>
      <c r="D23" s="106"/>
      <c r="E23" s="106"/>
      <c r="F23" s="5">
        <v>0.1</v>
      </c>
      <c r="G23" s="4"/>
      <c r="H23" s="137">
        <f>+ROUND(F23*H20,0)</f>
        <v>180000</v>
      </c>
      <c r="I23" s="138"/>
      <c r="J23" s="46"/>
    </row>
    <row r="24" spans="1:10" s="17" customFormat="1" ht="18" x14ac:dyDescent="0.25">
      <c r="A24" s="105" t="s">
        <v>36</v>
      </c>
      <c r="B24" s="106"/>
      <c r="C24" s="106"/>
      <c r="D24" s="106"/>
      <c r="E24" s="106"/>
      <c r="F24" s="5"/>
      <c r="G24" s="63"/>
      <c r="H24" s="107"/>
      <c r="I24" s="108"/>
      <c r="J24" s="46"/>
    </row>
    <row r="25" spans="1:10" s="17" customFormat="1" ht="18" x14ac:dyDescent="0.25">
      <c r="A25" s="105" t="s">
        <v>69</v>
      </c>
      <c r="B25" s="106"/>
      <c r="C25" s="106"/>
      <c r="D25" s="106"/>
      <c r="E25" s="106"/>
      <c r="F25" s="106"/>
      <c r="G25" s="112"/>
      <c r="H25" s="113">
        <f>+'RESUMEN de PAGOS'!L3</f>
        <v>0</v>
      </c>
      <c r="I25" s="114"/>
      <c r="J25" s="46"/>
    </row>
    <row r="26" spans="1:10" s="17" customFormat="1" ht="18" x14ac:dyDescent="0.25">
      <c r="A26" s="105" t="s">
        <v>70</v>
      </c>
      <c r="B26" s="106"/>
      <c r="C26" s="106"/>
      <c r="D26" s="106"/>
      <c r="E26" s="106"/>
      <c r="F26" s="106"/>
      <c r="G26" s="112"/>
      <c r="H26" s="113">
        <f>+H23</f>
        <v>180000</v>
      </c>
      <c r="I26" s="114"/>
      <c r="J26" s="46"/>
    </row>
    <row r="27" spans="1:10" s="17" customFormat="1" ht="18" x14ac:dyDescent="0.25">
      <c r="A27" s="105" t="s">
        <v>75</v>
      </c>
      <c r="B27" s="106"/>
      <c r="C27" s="106"/>
      <c r="D27" s="106"/>
      <c r="E27" s="106"/>
      <c r="F27" s="106"/>
      <c r="G27" s="112"/>
      <c r="H27" s="113">
        <f>+'RESUMEN de PAGOS'!I3</f>
        <v>100000</v>
      </c>
      <c r="I27" s="114"/>
      <c r="J27" s="46"/>
    </row>
    <row r="28" spans="1:10" s="17" customFormat="1" ht="18" x14ac:dyDescent="0.25">
      <c r="A28" s="105" t="s">
        <v>71</v>
      </c>
      <c r="B28" s="106"/>
      <c r="C28" s="106"/>
      <c r="D28" s="106"/>
      <c r="E28" s="106"/>
      <c r="F28" s="7"/>
      <c r="G28" s="7"/>
      <c r="H28" s="139">
        <f>+H22-H23-H24+H25+H26+H27</f>
        <v>1900000</v>
      </c>
      <c r="I28" s="140"/>
      <c r="J28" s="46"/>
    </row>
    <row r="29" spans="1:10" s="17" customFormat="1" ht="21.95" customHeight="1" x14ac:dyDescent="0.2">
      <c r="A29" s="141" t="s">
        <v>21</v>
      </c>
      <c r="B29" s="142"/>
      <c r="C29" s="142"/>
      <c r="D29" s="142"/>
      <c r="E29" s="142"/>
      <c r="F29" s="142"/>
      <c r="G29" s="142"/>
      <c r="H29" s="142"/>
      <c r="I29" s="142"/>
      <c r="J29" s="143"/>
    </row>
    <row r="30" spans="1:10" s="17" customFormat="1" ht="24.75" customHeight="1" x14ac:dyDescent="0.2">
      <c r="A30" s="65" t="s">
        <v>41</v>
      </c>
      <c r="B30" s="109"/>
      <c r="C30" s="109"/>
      <c r="D30" s="64" t="s">
        <v>39</v>
      </c>
      <c r="E30" s="111"/>
      <c r="F30" s="111"/>
      <c r="G30" s="110" t="s">
        <v>40</v>
      </c>
      <c r="H30" s="110"/>
      <c r="I30" s="3" t="s">
        <v>44</v>
      </c>
      <c r="J30" s="46"/>
    </row>
    <row r="31" spans="1:10" s="17" customFormat="1" ht="42.75" customHeight="1" x14ac:dyDescent="0.2">
      <c r="A31" s="132" t="s">
        <v>22</v>
      </c>
      <c r="B31" s="133"/>
      <c r="C31" s="133"/>
      <c r="D31" s="133"/>
      <c r="E31" s="133"/>
      <c r="F31" s="133"/>
      <c r="G31" s="133"/>
      <c r="H31" s="133"/>
      <c r="I31" s="133"/>
      <c r="J31" s="46"/>
    </row>
    <row r="32" spans="1:10" s="17" customFormat="1" ht="14.25" x14ac:dyDescent="0.2">
      <c r="A32" s="45"/>
      <c r="B32" s="12"/>
      <c r="C32" s="8"/>
      <c r="D32" s="8"/>
      <c r="E32" s="8"/>
      <c r="F32" s="119"/>
      <c r="G32" s="119"/>
      <c r="H32" s="128"/>
      <c r="I32" s="128"/>
      <c r="J32" s="46"/>
    </row>
    <row r="33" spans="1:14" s="17" customFormat="1" ht="24.75" x14ac:dyDescent="0.5">
      <c r="A33" s="134" t="s">
        <v>34</v>
      </c>
      <c r="B33" s="135"/>
      <c r="C33" s="135"/>
      <c r="D33" s="135"/>
      <c r="E33" s="135"/>
      <c r="F33" s="135"/>
      <c r="G33" s="135"/>
      <c r="H33" s="135"/>
      <c r="I33" s="135"/>
      <c r="J33" s="136"/>
    </row>
    <row r="34" spans="1:14" s="17" customFormat="1" ht="15" customHeight="1" x14ac:dyDescent="0.5">
      <c r="A34" s="52"/>
      <c r="B34" s="23"/>
      <c r="C34" s="23"/>
      <c r="D34" s="23"/>
      <c r="E34" s="23"/>
      <c r="F34" s="23"/>
      <c r="G34" s="23"/>
      <c r="H34" s="23"/>
      <c r="I34" s="23"/>
      <c r="J34" s="53"/>
      <c r="N34" s="24"/>
    </row>
    <row r="35" spans="1:14" s="17" customFormat="1" ht="15.75" customHeight="1" x14ac:dyDescent="0.5">
      <c r="A35" s="52"/>
      <c r="B35" s="23"/>
      <c r="C35" s="25"/>
      <c r="D35" s="25"/>
      <c r="E35" s="25"/>
      <c r="F35" s="25"/>
      <c r="G35" s="23"/>
      <c r="H35" s="23"/>
      <c r="I35" s="23"/>
      <c r="J35" s="53"/>
    </row>
    <row r="36" spans="1:14" s="17" customFormat="1" ht="18" customHeight="1" x14ac:dyDescent="0.25">
      <c r="A36" s="116" t="s">
        <v>23</v>
      </c>
      <c r="B36" s="117"/>
      <c r="C36" s="117"/>
      <c r="D36" s="117"/>
      <c r="E36" s="117"/>
      <c r="F36" s="117"/>
      <c r="G36" s="117"/>
      <c r="H36" s="117"/>
      <c r="I36" s="117"/>
      <c r="J36" s="118"/>
    </row>
    <row r="37" spans="1:14" s="17" customFormat="1" ht="18" customHeight="1" x14ac:dyDescent="0.25">
      <c r="A37" s="116" t="s">
        <v>24</v>
      </c>
      <c r="B37" s="117"/>
      <c r="C37" s="117"/>
      <c r="D37" s="117"/>
      <c r="E37" s="117"/>
      <c r="F37" s="117"/>
      <c r="G37" s="117"/>
      <c r="H37" s="117"/>
      <c r="I37" s="117"/>
      <c r="J37" s="118"/>
    </row>
    <row r="38" spans="1:14" s="17" customFormat="1" ht="18" customHeight="1" x14ac:dyDescent="0.25">
      <c r="A38" s="116" t="s">
        <v>25</v>
      </c>
      <c r="B38" s="117"/>
      <c r="C38" s="117"/>
      <c r="D38" s="117"/>
      <c r="E38" s="117"/>
      <c r="F38" s="117"/>
      <c r="G38" s="117"/>
      <c r="H38" s="117"/>
      <c r="I38" s="117"/>
      <c r="J38" s="118"/>
    </row>
    <row r="39" spans="1:14" s="17" customFormat="1" ht="15" thickBot="1" x14ac:dyDescent="0.25">
      <c r="A39" s="54"/>
      <c r="B39" s="55"/>
      <c r="C39" s="55"/>
      <c r="D39" s="55"/>
      <c r="E39" s="55"/>
      <c r="F39" s="55"/>
      <c r="G39" s="55"/>
      <c r="H39" s="55"/>
      <c r="I39" s="55"/>
      <c r="J39" s="56"/>
    </row>
    <row r="40" spans="1:14" s="17" customFormat="1" ht="15" thickTop="1" x14ac:dyDescent="0.2">
      <c r="A40" s="62"/>
      <c r="B40" s="8"/>
      <c r="C40" s="8"/>
      <c r="D40" s="8"/>
      <c r="E40" s="8"/>
      <c r="F40" s="8"/>
      <c r="G40" s="8"/>
      <c r="H40" s="8"/>
      <c r="I40" s="8"/>
      <c r="J40" s="8"/>
    </row>
    <row r="41" spans="1:14" x14ac:dyDescent="0.2">
      <c r="J41" s="29"/>
    </row>
    <row r="42" spans="1:14" hidden="1" x14ac:dyDescent="0.2"/>
    <row r="43" spans="1:14" ht="30" hidden="1" x14ac:dyDescent="0.4">
      <c r="A43" s="30" t="s">
        <v>2</v>
      </c>
      <c r="B43" s="31"/>
      <c r="D43" s="32" t="s">
        <v>8</v>
      </c>
      <c r="E43" s="33">
        <f ca="1">TODAY()</f>
        <v>45516</v>
      </c>
      <c r="F43" s="121" t="s">
        <v>0</v>
      </c>
      <c r="G43" s="121"/>
      <c r="H43" s="34"/>
      <c r="I43" s="34"/>
      <c r="J43" s="13"/>
    </row>
    <row r="44" spans="1:14" s="17" customFormat="1" ht="14.25" hidden="1" x14ac:dyDescent="0.2">
      <c r="A44" s="15"/>
      <c r="B44" s="8"/>
      <c r="C44" s="8"/>
      <c r="D44" s="8"/>
      <c r="E44" s="8"/>
      <c r="F44" s="8"/>
      <c r="G44" s="8"/>
      <c r="H44" s="8"/>
      <c r="I44" s="8"/>
      <c r="J44" s="16"/>
    </row>
    <row r="45" spans="1:14" s="17" customFormat="1" ht="21.95" hidden="1" customHeight="1" x14ac:dyDescent="0.25">
      <c r="A45" s="6" t="s">
        <v>4</v>
      </c>
      <c r="B45" s="122" t="s">
        <v>5</v>
      </c>
      <c r="C45" s="122"/>
      <c r="D45" s="122"/>
      <c r="E45" s="122"/>
      <c r="F45" s="123" t="s">
        <v>3</v>
      </c>
      <c r="G45" s="124"/>
      <c r="H45" s="125">
        <v>9500</v>
      </c>
      <c r="I45" s="126"/>
      <c r="J45" s="19"/>
    </row>
    <row r="46" spans="1:14" s="17" customFormat="1" ht="21.95" hidden="1" customHeight="1" x14ac:dyDescent="0.25">
      <c r="A46" s="20" t="s">
        <v>3</v>
      </c>
      <c r="B46" s="127" t="str">
        <f>PESOSMN(H45)</f>
        <v>Nueve Mil Quinientos Pesos 00/100</v>
      </c>
      <c r="C46" s="127"/>
      <c r="D46" s="127"/>
      <c r="E46" s="127"/>
      <c r="F46" s="127"/>
      <c r="G46" s="127"/>
      <c r="H46" s="127"/>
      <c r="I46" s="7"/>
      <c r="J46" s="21"/>
    </row>
    <row r="47" spans="1:14" s="17" customFormat="1" ht="14.25" hidden="1" x14ac:dyDescent="0.2">
      <c r="A47" s="15"/>
      <c r="B47" s="8"/>
      <c r="C47" s="8"/>
      <c r="D47" s="8"/>
      <c r="E47" s="8"/>
      <c r="F47" s="8"/>
      <c r="G47" s="8"/>
      <c r="H47" s="8"/>
      <c r="I47" s="8"/>
      <c r="J47" s="16"/>
    </row>
    <row r="48" spans="1:14" s="17" customFormat="1" ht="15" hidden="1" customHeight="1" x14ac:dyDescent="0.25">
      <c r="A48" s="6" t="s">
        <v>6</v>
      </c>
      <c r="B48" s="122" t="s">
        <v>7</v>
      </c>
      <c r="C48" s="122"/>
      <c r="D48" s="122"/>
      <c r="E48" s="122"/>
      <c r="F48" s="122"/>
      <c r="G48" s="122"/>
      <c r="H48" s="122"/>
      <c r="I48" s="8"/>
      <c r="J48" s="16"/>
    </row>
    <row r="49" spans="1:10" s="17" customFormat="1" ht="21.95" hidden="1" customHeight="1" x14ac:dyDescent="0.2">
      <c r="A49" s="35"/>
      <c r="B49" s="36"/>
      <c r="C49" s="37"/>
      <c r="D49" s="36"/>
      <c r="E49" s="8"/>
      <c r="F49" s="38" t="s">
        <v>9</v>
      </c>
      <c r="G49" s="10" t="s">
        <v>17</v>
      </c>
      <c r="H49" s="11" t="s">
        <v>10</v>
      </c>
      <c r="I49" s="12"/>
      <c r="J49" s="16"/>
    </row>
    <row r="50" spans="1:10" s="17" customFormat="1" ht="14.25" hidden="1" x14ac:dyDescent="0.2">
      <c r="A50" s="15"/>
      <c r="B50" s="8"/>
      <c r="C50" s="8"/>
      <c r="D50" s="8"/>
      <c r="E50" s="8"/>
      <c r="F50" s="8"/>
      <c r="G50" s="10" t="s">
        <v>18</v>
      </c>
      <c r="H50" s="11" t="s">
        <v>11</v>
      </c>
      <c r="I50" s="39"/>
      <c r="J50" s="16"/>
    </row>
    <row r="51" spans="1:10" s="17" customFormat="1" ht="15" hidden="1" customHeight="1" x14ac:dyDescent="0.25">
      <c r="A51" s="6" t="s">
        <v>13</v>
      </c>
      <c r="B51" s="122"/>
      <c r="C51" s="122"/>
      <c r="D51" s="122"/>
      <c r="E51" s="8"/>
      <c r="F51" s="9" t="s">
        <v>1</v>
      </c>
      <c r="G51" s="10" t="s">
        <v>18</v>
      </c>
      <c r="H51" s="11" t="s">
        <v>12</v>
      </c>
      <c r="I51" s="12"/>
      <c r="J51" s="16"/>
    </row>
    <row r="52" spans="1:10" s="17" customFormat="1" ht="14.25" hidden="1" x14ac:dyDescent="0.2">
      <c r="A52" s="15"/>
      <c r="B52" s="12" t="s">
        <v>14</v>
      </c>
      <c r="C52" s="8"/>
      <c r="D52" s="8"/>
      <c r="E52" s="8"/>
      <c r="F52" s="8"/>
      <c r="G52" s="8"/>
      <c r="H52" s="8"/>
      <c r="I52" s="8"/>
      <c r="J52" s="16"/>
    </row>
    <row r="53" spans="1:10" s="17" customFormat="1" ht="14.25" hidden="1" x14ac:dyDescent="0.2">
      <c r="A53" s="15"/>
      <c r="B53" s="12" t="s">
        <v>15</v>
      </c>
      <c r="C53" s="8"/>
      <c r="D53" s="8"/>
      <c r="E53" s="8"/>
      <c r="F53" s="119"/>
      <c r="G53" s="119"/>
      <c r="H53" s="128"/>
      <c r="I53" s="128"/>
      <c r="J53" s="16"/>
    </row>
    <row r="54" spans="1:10" s="17" customFormat="1" ht="14.25" hidden="1" x14ac:dyDescent="0.2">
      <c r="A54" s="40"/>
      <c r="B54" s="12" t="s">
        <v>16</v>
      </c>
      <c r="C54" s="8"/>
      <c r="D54" s="8"/>
      <c r="E54" s="8"/>
      <c r="F54" s="119"/>
      <c r="G54" s="119"/>
      <c r="H54" s="128"/>
      <c r="I54" s="128"/>
      <c r="J54" s="16"/>
    </row>
    <row r="55" spans="1:10" s="17" customFormat="1" ht="14.25" hidden="1" x14ac:dyDescent="0.2">
      <c r="E55" s="8"/>
      <c r="F55" s="119"/>
      <c r="G55" s="119"/>
      <c r="H55" s="120"/>
      <c r="I55" s="120"/>
      <c r="J55" s="16"/>
    </row>
    <row r="56" spans="1:10" s="17" customFormat="1" ht="14.25" hidden="1" x14ac:dyDescent="0.2">
      <c r="A56" s="26"/>
      <c r="B56" s="27"/>
      <c r="C56" s="27"/>
      <c r="D56" s="27"/>
      <c r="E56" s="27"/>
      <c r="F56" s="27"/>
      <c r="G56" s="27"/>
      <c r="H56" s="27"/>
      <c r="I56" s="27"/>
      <c r="J56" s="28"/>
    </row>
    <row r="57" spans="1:10" hidden="1" x14ac:dyDescent="0.2"/>
    <row r="58" spans="1:10" hidden="1" x14ac:dyDescent="0.2"/>
    <row r="59" spans="1:10" ht="30" hidden="1" x14ac:dyDescent="0.4">
      <c r="A59" s="30" t="s">
        <v>2</v>
      </c>
      <c r="B59" s="31"/>
      <c r="D59" s="32" t="s">
        <v>8</v>
      </c>
      <c r="E59" s="33">
        <f ca="1">TODAY()</f>
        <v>45516</v>
      </c>
      <c r="F59" s="121" t="s">
        <v>0</v>
      </c>
      <c r="G59" s="121"/>
      <c r="H59" s="34"/>
      <c r="I59" s="34"/>
      <c r="J59" s="13"/>
    </row>
    <row r="60" spans="1:10" s="17" customFormat="1" ht="14.25" hidden="1" x14ac:dyDescent="0.2">
      <c r="A60" s="15"/>
      <c r="B60" s="8"/>
      <c r="C60" s="8"/>
      <c r="D60" s="8"/>
      <c r="E60" s="8"/>
      <c r="F60" s="8"/>
      <c r="G60" s="8"/>
      <c r="H60" s="8"/>
      <c r="I60" s="8"/>
      <c r="J60" s="16"/>
    </row>
    <row r="61" spans="1:10" s="17" customFormat="1" ht="21.95" hidden="1" customHeight="1" x14ac:dyDescent="0.25">
      <c r="A61" s="6" t="s">
        <v>4</v>
      </c>
      <c r="B61" s="122" t="s">
        <v>5</v>
      </c>
      <c r="C61" s="122"/>
      <c r="D61" s="122"/>
      <c r="E61" s="122"/>
      <c r="F61" s="123" t="s">
        <v>3</v>
      </c>
      <c r="G61" s="124"/>
      <c r="H61" s="125">
        <v>60</v>
      </c>
      <c r="I61" s="126"/>
      <c r="J61" s="19"/>
    </row>
    <row r="62" spans="1:10" s="17" customFormat="1" ht="21.95" hidden="1" customHeight="1" x14ac:dyDescent="0.25">
      <c r="A62" s="20" t="s">
        <v>3</v>
      </c>
      <c r="B62" s="127" t="str">
        <f>PESOSMN(H61)</f>
        <v>Sesenta Pesos 00/100</v>
      </c>
      <c r="C62" s="127"/>
      <c r="D62" s="127"/>
      <c r="E62" s="127"/>
      <c r="F62" s="127"/>
      <c r="G62" s="127"/>
      <c r="H62" s="127"/>
      <c r="I62" s="7"/>
      <c r="J62" s="21"/>
    </row>
    <row r="63" spans="1:10" s="17" customFormat="1" ht="14.25" hidden="1" x14ac:dyDescent="0.2">
      <c r="A63" s="15"/>
      <c r="B63" s="8"/>
      <c r="C63" s="8"/>
      <c r="D63" s="8"/>
      <c r="E63" s="8"/>
      <c r="F63" s="8"/>
      <c r="G63" s="8"/>
      <c r="H63" s="8"/>
      <c r="I63" s="8"/>
      <c r="J63" s="16"/>
    </row>
    <row r="64" spans="1:10" s="17" customFormat="1" ht="15" hidden="1" customHeight="1" x14ac:dyDescent="0.25">
      <c r="A64" s="6" t="s">
        <v>6</v>
      </c>
      <c r="B64" s="122" t="s">
        <v>7</v>
      </c>
      <c r="C64" s="122"/>
      <c r="D64" s="122"/>
      <c r="E64" s="122"/>
      <c r="F64" s="122"/>
      <c r="G64" s="122"/>
      <c r="H64" s="122"/>
      <c r="I64" s="8"/>
      <c r="J64" s="16"/>
    </row>
    <row r="65" spans="1:10" s="17" customFormat="1" ht="21.95" hidden="1" customHeight="1" x14ac:dyDescent="0.2">
      <c r="A65" s="35"/>
      <c r="B65" s="36"/>
      <c r="C65" s="37"/>
      <c r="D65" s="36"/>
      <c r="E65" s="8"/>
      <c r="F65" s="38" t="s">
        <v>9</v>
      </c>
      <c r="G65" s="10" t="s">
        <v>17</v>
      </c>
      <c r="H65" s="11" t="s">
        <v>10</v>
      </c>
      <c r="I65" s="12"/>
      <c r="J65" s="16"/>
    </row>
    <row r="66" spans="1:10" s="17" customFormat="1" ht="14.25" hidden="1" x14ac:dyDescent="0.2">
      <c r="A66" s="15"/>
      <c r="B66" s="8"/>
      <c r="C66" s="8"/>
      <c r="D66" s="8"/>
      <c r="E66" s="8"/>
      <c r="F66" s="8"/>
      <c r="G66" s="10" t="s">
        <v>18</v>
      </c>
      <c r="H66" s="11" t="s">
        <v>11</v>
      </c>
      <c r="I66" s="39"/>
      <c r="J66" s="16"/>
    </row>
    <row r="67" spans="1:10" s="17" customFormat="1" ht="15" hidden="1" customHeight="1" x14ac:dyDescent="0.25">
      <c r="A67" s="6" t="s">
        <v>13</v>
      </c>
      <c r="B67" s="122"/>
      <c r="C67" s="122"/>
      <c r="D67" s="122"/>
      <c r="E67" s="8"/>
      <c r="F67" s="9" t="s">
        <v>1</v>
      </c>
      <c r="G67" s="10" t="s">
        <v>18</v>
      </c>
      <c r="H67" s="11" t="s">
        <v>12</v>
      </c>
      <c r="I67" s="12"/>
      <c r="J67" s="16"/>
    </row>
    <row r="68" spans="1:10" s="17" customFormat="1" ht="14.25" hidden="1" x14ac:dyDescent="0.2">
      <c r="A68" s="15"/>
      <c r="B68" s="12" t="s">
        <v>14</v>
      </c>
      <c r="C68" s="8"/>
      <c r="D68" s="8"/>
      <c r="E68" s="8"/>
      <c r="F68" s="8"/>
      <c r="G68" s="8"/>
      <c r="H68" s="8"/>
      <c r="I68" s="8"/>
      <c r="J68" s="16"/>
    </row>
    <row r="69" spans="1:10" s="17" customFormat="1" ht="14.25" hidden="1" x14ac:dyDescent="0.2">
      <c r="A69" s="15"/>
      <c r="B69" s="12" t="s">
        <v>15</v>
      </c>
      <c r="C69" s="8"/>
      <c r="D69" s="8"/>
      <c r="E69" s="8"/>
      <c r="F69" s="119"/>
      <c r="G69" s="119"/>
      <c r="H69" s="128"/>
      <c r="I69" s="128"/>
      <c r="J69" s="16"/>
    </row>
    <row r="70" spans="1:10" s="17" customFormat="1" ht="14.25" hidden="1" x14ac:dyDescent="0.2">
      <c r="A70" s="40"/>
      <c r="B70" s="12" t="s">
        <v>16</v>
      </c>
      <c r="C70" s="8"/>
      <c r="D70" s="8"/>
      <c r="E70" s="8"/>
      <c r="F70" s="119"/>
      <c r="G70" s="119"/>
      <c r="H70" s="128"/>
      <c r="I70" s="128"/>
      <c r="J70" s="16"/>
    </row>
    <row r="71" spans="1:10" s="17" customFormat="1" ht="14.25" hidden="1" x14ac:dyDescent="0.2">
      <c r="E71" s="8"/>
      <c r="F71" s="119"/>
      <c r="G71" s="119"/>
      <c r="H71" s="120"/>
      <c r="I71" s="120"/>
      <c r="J71" s="16"/>
    </row>
    <row r="72" spans="1:10" s="17" customFormat="1" ht="14.25" hidden="1" x14ac:dyDescent="0.2">
      <c r="A72" s="26"/>
      <c r="B72" s="27"/>
      <c r="C72" s="27"/>
      <c r="D72" s="27"/>
      <c r="E72" s="27"/>
      <c r="F72" s="27"/>
      <c r="G72" s="27"/>
      <c r="H72" s="27"/>
      <c r="I72" s="27"/>
      <c r="J72" s="28"/>
    </row>
    <row r="73" spans="1:10" hidden="1" x14ac:dyDescent="0.2"/>
    <row r="74" spans="1:10" hidden="1" x14ac:dyDescent="0.2"/>
    <row r="75" spans="1:10" hidden="1" x14ac:dyDescent="0.2"/>
    <row r="76" spans="1:10" hidden="1" x14ac:dyDescent="0.2"/>
    <row r="77" spans="1:10" hidden="1" x14ac:dyDescent="0.2"/>
    <row r="78" spans="1:10" hidden="1" x14ac:dyDescent="0.2"/>
    <row r="79" spans="1:10" hidden="1" x14ac:dyDescent="0.2"/>
    <row r="80" spans="1:1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spans="1:10" hidden="1" x14ac:dyDescent="0.2"/>
    <row r="210" spans="1:10" hidden="1" x14ac:dyDescent="0.2"/>
    <row r="211" spans="1:10" hidden="1" x14ac:dyDescent="0.2"/>
    <row r="212" spans="1:10" hidden="1" x14ac:dyDescent="0.2"/>
    <row r="213" spans="1:10" hidden="1" x14ac:dyDescent="0.2"/>
    <row r="214" spans="1:10" hidden="1" x14ac:dyDescent="0.2"/>
    <row r="215" spans="1:10" hidden="1" x14ac:dyDescent="0.2"/>
    <row r="216" spans="1:10" x14ac:dyDescent="0.2">
      <c r="A216" s="41"/>
      <c r="B216" s="58"/>
      <c r="C216" s="58"/>
      <c r="D216" s="58"/>
      <c r="E216" s="41"/>
      <c r="F216" s="41"/>
      <c r="G216" s="58"/>
      <c r="H216" s="58"/>
      <c r="I216" s="58"/>
      <c r="J216" s="41"/>
    </row>
    <row r="217" spans="1:10" x14ac:dyDescent="0.2">
      <c r="A217" s="41"/>
      <c r="B217" s="59"/>
      <c r="C217" s="41"/>
      <c r="D217" s="41"/>
      <c r="E217" s="41"/>
      <c r="F217" s="41"/>
      <c r="G217" s="60"/>
      <c r="H217" s="58"/>
      <c r="I217" s="58"/>
      <c r="J217" s="41"/>
    </row>
    <row r="218" spans="1:10" ht="15" x14ac:dyDescent="0.2">
      <c r="A218" s="41"/>
      <c r="B218" s="61"/>
      <c r="C218" s="41"/>
      <c r="D218" s="57" t="s">
        <v>31</v>
      </c>
      <c r="E218" s="57"/>
      <c r="F218" s="57"/>
      <c r="G218" s="57"/>
      <c r="H218" s="57"/>
      <c r="I218" s="57"/>
      <c r="J218" s="57"/>
    </row>
    <row r="219" spans="1:10" ht="17.25" customHeight="1" x14ac:dyDescent="0.2">
      <c r="A219" s="148" t="s">
        <v>32</v>
      </c>
      <c r="B219" s="149"/>
      <c r="C219" s="149"/>
      <c r="D219" s="149"/>
      <c r="E219" s="149"/>
      <c r="F219" s="149"/>
      <c r="G219" s="149"/>
      <c r="H219" s="149"/>
      <c r="I219" s="149"/>
      <c r="J219" s="149"/>
    </row>
    <row r="220" spans="1:10" ht="15" x14ac:dyDescent="0.2">
      <c r="A220" s="150" t="s">
        <v>33</v>
      </c>
      <c r="B220" s="150"/>
      <c r="C220" s="150"/>
      <c r="D220" s="150"/>
      <c r="E220" s="150"/>
      <c r="F220" s="150"/>
      <c r="G220" s="150"/>
      <c r="H220" s="150"/>
      <c r="I220" s="150"/>
      <c r="J220" s="150"/>
    </row>
  </sheetData>
  <mergeCells count="70">
    <mergeCell ref="G9:J9"/>
    <mergeCell ref="A219:J219"/>
    <mergeCell ref="A220:J220"/>
    <mergeCell ref="A6:J6"/>
    <mergeCell ref="A7:J7"/>
    <mergeCell ref="A22:E22"/>
    <mergeCell ref="H22:I22"/>
    <mergeCell ref="B13:C13"/>
    <mergeCell ref="B10:I10"/>
    <mergeCell ref="A20:F20"/>
    <mergeCell ref="H20:I20"/>
    <mergeCell ref="B12:E12"/>
    <mergeCell ref="F12:G12"/>
    <mergeCell ref="H12:I12"/>
    <mergeCell ref="B16:I18"/>
    <mergeCell ref="F55:G55"/>
    <mergeCell ref="H55:I55"/>
    <mergeCell ref="A5:J5"/>
    <mergeCell ref="A4:J4"/>
    <mergeCell ref="A3:J3"/>
    <mergeCell ref="A36:J36"/>
    <mergeCell ref="A31:I31"/>
    <mergeCell ref="A33:J33"/>
    <mergeCell ref="A23:E23"/>
    <mergeCell ref="H23:I23"/>
    <mergeCell ref="A28:E28"/>
    <mergeCell ref="H28:I28"/>
    <mergeCell ref="A29:J29"/>
    <mergeCell ref="F32:G32"/>
    <mergeCell ref="H32:I32"/>
    <mergeCell ref="A21:E21"/>
    <mergeCell ref="H21:I21"/>
    <mergeCell ref="F43:G43"/>
    <mergeCell ref="B45:E45"/>
    <mergeCell ref="F45:G45"/>
    <mergeCell ref="H45:I45"/>
    <mergeCell ref="B46:H46"/>
    <mergeCell ref="B48:H48"/>
    <mergeCell ref="B51:D51"/>
    <mergeCell ref="F53:G53"/>
    <mergeCell ref="H53:I53"/>
    <mergeCell ref="F54:G54"/>
    <mergeCell ref="H54:I54"/>
    <mergeCell ref="B14:I14"/>
    <mergeCell ref="A37:J37"/>
    <mergeCell ref="A38:J38"/>
    <mergeCell ref="F71:G71"/>
    <mergeCell ref="H71:I71"/>
    <mergeCell ref="F59:G59"/>
    <mergeCell ref="B61:E61"/>
    <mergeCell ref="F61:G61"/>
    <mergeCell ref="H61:I61"/>
    <mergeCell ref="B62:H62"/>
    <mergeCell ref="B64:H64"/>
    <mergeCell ref="B67:D67"/>
    <mergeCell ref="F69:G69"/>
    <mergeCell ref="H69:I69"/>
    <mergeCell ref="F70:G70"/>
    <mergeCell ref="H70:I70"/>
    <mergeCell ref="A24:E24"/>
    <mergeCell ref="H24:I24"/>
    <mergeCell ref="B30:C30"/>
    <mergeCell ref="G30:H30"/>
    <mergeCell ref="E30:F30"/>
    <mergeCell ref="A25:G25"/>
    <mergeCell ref="A26:G26"/>
    <mergeCell ref="H25:I25"/>
    <mergeCell ref="H26:I26"/>
    <mergeCell ref="A27:G27"/>
    <mergeCell ref="H27:I27"/>
  </mergeCells>
  <hyperlinks>
    <hyperlink ref="A219" r:id="rId1" display="mailto:asociacionindigenalewashii@gmail.com"/>
  </hyperlinks>
  <pageMargins left="0.70866141732283472" right="0.70866141732283472" top="0.74803149606299213" bottom="0.74803149606299213" header="0.31496062992125984" footer="0.31496062992125984"/>
  <pageSetup scale="85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20"/>
  <sheetViews>
    <sheetView showGridLines="0" view="pageBreakPreview" zoomScaleNormal="100" zoomScaleSheetLayoutView="100" workbookViewId="0">
      <selection activeCell="B10" sqref="B10:I10"/>
    </sheetView>
  </sheetViews>
  <sheetFormatPr baseColWidth="10" defaultColWidth="9.140625" defaultRowHeight="12.75" x14ac:dyDescent="0.2"/>
  <cols>
    <col min="1" max="1" width="17.28515625" style="14" customWidth="1"/>
    <col min="2" max="2" width="14" style="14" customWidth="1"/>
    <col min="3" max="3" width="10.42578125" style="14" customWidth="1"/>
    <col min="4" max="4" width="8.7109375" style="14" customWidth="1"/>
    <col min="5" max="5" width="13.28515625" style="14" customWidth="1"/>
    <col min="6" max="6" width="12.5703125" style="14" customWidth="1"/>
    <col min="7" max="7" width="3.28515625" style="14" bestFit="1" customWidth="1"/>
    <col min="8" max="8" width="7.85546875" style="14" customWidth="1"/>
    <col min="9" max="9" width="14.140625" style="14" customWidth="1"/>
    <col min="10" max="10" width="3.140625" style="14" customWidth="1"/>
    <col min="11" max="11" width="5.5703125" style="14" customWidth="1"/>
    <col min="12" max="12" width="15.7109375" style="14" customWidth="1"/>
    <col min="13" max="16384" width="9.140625" style="14"/>
  </cols>
  <sheetData>
    <row r="1" spans="1:16" x14ac:dyDescent="0.2">
      <c r="A1" s="41"/>
      <c r="B1" s="42"/>
      <c r="C1" s="42"/>
      <c r="D1" s="42"/>
      <c r="E1" s="42"/>
      <c r="F1" s="42"/>
      <c r="G1" s="42"/>
      <c r="H1" s="42"/>
      <c r="I1" s="42"/>
    </row>
    <row r="2" spans="1:16" x14ac:dyDescent="0.2">
      <c r="A2" s="41"/>
      <c r="B2" s="41"/>
      <c r="C2" s="41"/>
      <c r="D2" s="41"/>
      <c r="E2" s="41"/>
      <c r="F2" s="41"/>
      <c r="G2" s="41"/>
      <c r="H2" s="41"/>
      <c r="I2" s="41"/>
    </row>
    <row r="3" spans="1:16" ht="15.75" x14ac:dyDescent="0.2">
      <c r="A3" s="131" t="s">
        <v>26</v>
      </c>
      <c r="B3" s="131"/>
      <c r="C3" s="131"/>
      <c r="D3" s="131"/>
      <c r="E3" s="131"/>
      <c r="F3" s="131"/>
      <c r="G3" s="131"/>
      <c r="H3" s="131"/>
      <c r="I3" s="131"/>
      <c r="J3" s="131"/>
    </row>
    <row r="4" spans="1:16" ht="18.75" x14ac:dyDescent="0.2">
      <c r="A4" s="130" t="s">
        <v>27</v>
      </c>
      <c r="B4" s="130"/>
      <c r="C4" s="130"/>
      <c r="D4" s="130"/>
      <c r="E4" s="130"/>
      <c r="F4" s="130"/>
      <c r="G4" s="130"/>
      <c r="H4" s="130"/>
      <c r="I4" s="130"/>
      <c r="J4" s="130"/>
    </row>
    <row r="5" spans="1:16" ht="15" x14ac:dyDescent="0.2">
      <c r="A5" s="129" t="s">
        <v>28</v>
      </c>
      <c r="B5" s="129"/>
      <c r="C5" s="129"/>
      <c r="D5" s="129"/>
      <c r="E5" s="129"/>
      <c r="F5" s="129"/>
      <c r="G5" s="129"/>
      <c r="H5" s="129"/>
      <c r="I5" s="129"/>
      <c r="J5" s="129"/>
    </row>
    <row r="6" spans="1:16" ht="15.75" x14ac:dyDescent="0.2">
      <c r="A6" s="131" t="s">
        <v>29</v>
      </c>
      <c r="B6" s="131"/>
      <c r="C6" s="131"/>
      <c r="D6" s="131"/>
      <c r="E6" s="131"/>
      <c r="F6" s="131"/>
      <c r="G6" s="131"/>
      <c r="H6" s="131"/>
      <c r="I6" s="131"/>
      <c r="J6" s="131"/>
    </row>
    <row r="7" spans="1:16" ht="18.75" x14ac:dyDescent="0.3">
      <c r="A7" s="151" t="s">
        <v>30</v>
      </c>
      <c r="B7" s="151"/>
      <c r="C7" s="151"/>
      <c r="D7" s="151"/>
      <c r="E7" s="151"/>
      <c r="F7" s="151"/>
      <c r="G7" s="151"/>
      <c r="H7" s="151"/>
      <c r="I7" s="151"/>
      <c r="J7" s="151"/>
    </row>
    <row r="8" spans="1:16" ht="8.25" customHeight="1" thickBot="1" x14ac:dyDescent="0.25"/>
    <row r="9" spans="1:16" ht="30.75" thickTop="1" x14ac:dyDescent="0.4">
      <c r="A9" s="74" t="s">
        <v>57</v>
      </c>
      <c r="B9" s="75"/>
      <c r="C9" s="75"/>
      <c r="D9" s="75"/>
      <c r="E9" s="75"/>
      <c r="F9" s="75"/>
      <c r="G9" s="146" t="s">
        <v>93</v>
      </c>
      <c r="H9" s="146"/>
      <c r="I9" s="146"/>
      <c r="J9" s="147"/>
      <c r="M9" s="146" t="s">
        <v>58</v>
      </c>
      <c r="N9" s="146"/>
      <c r="O9" s="146"/>
      <c r="P9" s="147"/>
    </row>
    <row r="10" spans="1:16" ht="23.25" x14ac:dyDescent="0.35">
      <c r="A10" s="43" t="s">
        <v>20</v>
      </c>
      <c r="B10" s="153" t="str">
        <f>+AMBIENTAL!B10:I10</f>
        <v>16 de Agosto de 2023</v>
      </c>
      <c r="C10" s="153"/>
      <c r="D10" s="153"/>
      <c r="E10" s="153"/>
      <c r="F10" s="153"/>
      <c r="G10" s="153"/>
      <c r="H10" s="153"/>
      <c r="I10" s="153"/>
      <c r="J10" s="44"/>
      <c r="N10" s="14" t="e">
        <f>+M9-23</f>
        <v>#VALUE!</v>
      </c>
    </row>
    <row r="11" spans="1:16" s="17" customFormat="1" ht="14.25" x14ac:dyDescent="0.2">
      <c r="A11" s="45"/>
      <c r="B11" s="8"/>
      <c r="C11" s="8"/>
      <c r="D11" s="8"/>
      <c r="E11" s="8"/>
      <c r="F11" s="8"/>
      <c r="G11" s="8"/>
      <c r="H11" s="8"/>
      <c r="I11" s="8"/>
      <c r="J11" s="46"/>
      <c r="L11" s="18"/>
    </row>
    <row r="12" spans="1:16" s="17" customFormat="1" ht="21.95" customHeight="1" x14ac:dyDescent="0.25">
      <c r="A12" s="47" t="s">
        <v>19</v>
      </c>
      <c r="B12" s="122" t="s">
        <v>47</v>
      </c>
      <c r="C12" s="122"/>
      <c r="D12" s="122"/>
      <c r="E12" s="122"/>
      <c r="F12" s="123" t="s">
        <v>3</v>
      </c>
      <c r="G12" s="124"/>
      <c r="H12" s="154">
        <f>+H28</f>
        <v>1920000</v>
      </c>
      <c r="I12" s="155"/>
      <c r="J12" s="48"/>
      <c r="L12" s="72"/>
    </row>
    <row r="13" spans="1:16" s="17" customFormat="1" ht="21.95" customHeight="1" x14ac:dyDescent="0.25">
      <c r="A13" s="47" t="s">
        <v>35</v>
      </c>
      <c r="B13" s="152">
        <v>27028833</v>
      </c>
      <c r="C13" s="152"/>
      <c r="D13" s="66" t="s">
        <v>38</v>
      </c>
      <c r="E13" s="66"/>
      <c r="F13" s="73" t="s">
        <v>48</v>
      </c>
      <c r="G13" s="2"/>
      <c r="H13" s="3"/>
      <c r="I13" s="3"/>
      <c r="J13" s="48"/>
      <c r="L13" s="73" t="s">
        <v>46</v>
      </c>
    </row>
    <row r="14" spans="1:16" s="17" customFormat="1" ht="21.95" customHeight="1" x14ac:dyDescent="0.25">
      <c r="A14" s="49" t="s">
        <v>3</v>
      </c>
      <c r="B14" s="115" t="str">
        <f>PESOSMN(H12)</f>
        <v>Un Millón Novecientos Veinte Mil Pesos 00/100</v>
      </c>
      <c r="C14" s="115"/>
      <c r="D14" s="115"/>
      <c r="E14" s="115"/>
      <c r="F14" s="115"/>
      <c r="G14" s="115"/>
      <c r="H14" s="115"/>
      <c r="I14" s="115"/>
      <c r="J14" s="50"/>
    </row>
    <row r="15" spans="1:16" s="17" customFormat="1" ht="15" thickBot="1" x14ac:dyDescent="0.25">
      <c r="A15" s="45"/>
      <c r="B15" s="8"/>
      <c r="C15" s="8"/>
      <c r="D15" s="8"/>
      <c r="E15" s="8"/>
      <c r="F15" s="8"/>
      <c r="G15" s="8"/>
      <c r="H15" s="8"/>
      <c r="I15" s="8"/>
      <c r="J15" s="46"/>
    </row>
    <row r="16" spans="1:16" s="17" customFormat="1" ht="16.5" customHeight="1" thickTop="1" x14ac:dyDescent="0.25">
      <c r="A16" s="47" t="s">
        <v>6</v>
      </c>
      <c r="B16" s="156" t="s">
        <v>82</v>
      </c>
      <c r="C16" s="157"/>
      <c r="D16" s="157"/>
      <c r="E16" s="157"/>
      <c r="F16" s="157"/>
      <c r="G16" s="157"/>
      <c r="H16" s="157"/>
      <c r="I16" s="158"/>
      <c r="J16" s="46"/>
    </row>
    <row r="17" spans="1:10" s="17" customFormat="1" ht="15" x14ac:dyDescent="0.25">
      <c r="A17" s="51"/>
      <c r="B17" s="159"/>
      <c r="C17" s="160"/>
      <c r="D17" s="160"/>
      <c r="E17" s="160"/>
      <c r="F17" s="160"/>
      <c r="G17" s="160"/>
      <c r="H17" s="160"/>
      <c r="I17" s="161"/>
      <c r="J17" s="46"/>
    </row>
    <row r="18" spans="1:10" s="17" customFormat="1" ht="15.75" thickBot="1" x14ac:dyDescent="0.3">
      <c r="A18" s="51"/>
      <c r="B18" s="162"/>
      <c r="C18" s="163"/>
      <c r="D18" s="163"/>
      <c r="E18" s="163"/>
      <c r="F18" s="163"/>
      <c r="G18" s="163"/>
      <c r="H18" s="163"/>
      <c r="I18" s="164"/>
      <c r="J18" s="46"/>
    </row>
    <row r="19" spans="1:10" s="17" customFormat="1" ht="15.75" thickTop="1" x14ac:dyDescent="0.25">
      <c r="A19" s="51"/>
      <c r="B19" s="63"/>
      <c r="C19" s="63"/>
      <c r="D19" s="63"/>
      <c r="E19" s="63"/>
      <c r="F19" s="63"/>
      <c r="G19" s="63"/>
      <c r="H19" s="63"/>
      <c r="I19" s="63"/>
      <c r="J19" s="46"/>
    </row>
    <row r="20" spans="1:10" s="17" customFormat="1" ht="18" x14ac:dyDescent="0.25">
      <c r="A20" s="105" t="s">
        <v>42</v>
      </c>
      <c r="B20" s="106"/>
      <c r="C20" s="106"/>
      <c r="D20" s="106"/>
      <c r="E20" s="106"/>
      <c r="F20" s="106"/>
      <c r="G20" s="63"/>
      <c r="H20" s="154">
        <f>+ROUND(H22/(1+F21),0)</f>
        <v>1800000</v>
      </c>
      <c r="I20" s="155"/>
      <c r="J20" s="46"/>
    </row>
    <row r="21" spans="1:10" s="17" customFormat="1" ht="18" x14ac:dyDescent="0.25">
      <c r="A21" s="105" t="s">
        <v>37</v>
      </c>
      <c r="B21" s="106"/>
      <c r="C21" s="106"/>
      <c r="D21" s="106"/>
      <c r="E21" s="106"/>
      <c r="F21" s="5">
        <v>0</v>
      </c>
      <c r="G21" s="22"/>
      <c r="H21" s="144">
        <f>+ROUND(F21*H20,0)</f>
        <v>0</v>
      </c>
      <c r="I21" s="145"/>
      <c r="J21" s="46"/>
    </row>
    <row r="22" spans="1:10" s="17" customFormat="1" ht="18" x14ac:dyDescent="0.25">
      <c r="A22" s="105" t="s">
        <v>72</v>
      </c>
      <c r="B22" s="106"/>
      <c r="C22" s="106"/>
      <c r="D22" s="106"/>
      <c r="E22" s="106"/>
      <c r="F22" s="63"/>
      <c r="G22" s="63"/>
      <c r="H22" s="107">
        <v>1800000</v>
      </c>
      <c r="I22" s="108"/>
      <c r="J22" s="46"/>
    </row>
    <row r="23" spans="1:10" s="17" customFormat="1" ht="18" x14ac:dyDescent="0.25">
      <c r="A23" s="105" t="s">
        <v>43</v>
      </c>
      <c r="B23" s="106"/>
      <c r="C23" s="106"/>
      <c r="D23" s="106"/>
      <c r="E23" s="106"/>
      <c r="F23" s="5">
        <v>0.1</v>
      </c>
      <c r="G23" s="63"/>
      <c r="H23" s="144">
        <f>+ROUND(F23*H20,0)</f>
        <v>180000</v>
      </c>
      <c r="I23" s="145"/>
      <c r="J23" s="46"/>
    </row>
    <row r="24" spans="1:10" s="17" customFormat="1" ht="18" x14ac:dyDescent="0.25">
      <c r="A24" s="105" t="s">
        <v>36</v>
      </c>
      <c r="B24" s="106"/>
      <c r="C24" s="106"/>
      <c r="D24" s="106"/>
      <c r="E24" s="106"/>
      <c r="F24" s="5"/>
      <c r="G24" s="63"/>
      <c r="H24" s="107"/>
      <c r="I24" s="108"/>
      <c r="J24" s="46"/>
    </row>
    <row r="25" spans="1:10" s="17" customFormat="1" ht="18" x14ac:dyDescent="0.25">
      <c r="A25" s="105" t="s">
        <v>69</v>
      </c>
      <c r="B25" s="106"/>
      <c r="C25" s="106"/>
      <c r="D25" s="106"/>
      <c r="E25" s="106"/>
      <c r="F25" s="106"/>
      <c r="G25" s="112"/>
      <c r="H25" s="113">
        <f>+'RESUMEN de PAGOS'!L4</f>
        <v>0</v>
      </c>
      <c r="I25" s="114"/>
      <c r="J25" s="46"/>
    </row>
    <row r="26" spans="1:10" s="17" customFormat="1" ht="18" x14ac:dyDescent="0.25">
      <c r="A26" s="105" t="s">
        <v>70</v>
      </c>
      <c r="B26" s="106"/>
      <c r="C26" s="106"/>
      <c r="D26" s="106"/>
      <c r="E26" s="106"/>
      <c r="F26" s="106"/>
      <c r="G26" s="112"/>
      <c r="H26" s="113">
        <f>+H23</f>
        <v>180000</v>
      </c>
      <c r="I26" s="114"/>
      <c r="J26" s="46"/>
    </row>
    <row r="27" spans="1:10" s="17" customFormat="1" ht="18" x14ac:dyDescent="0.25">
      <c r="A27" s="105" t="s">
        <v>76</v>
      </c>
      <c r="B27" s="106"/>
      <c r="C27" s="106"/>
      <c r="D27" s="106"/>
      <c r="E27" s="106"/>
      <c r="F27" s="106"/>
      <c r="G27" s="112"/>
      <c r="H27" s="113">
        <f>+'RESUMEN de PAGOS'!I4</f>
        <v>120000</v>
      </c>
      <c r="I27" s="114"/>
      <c r="J27" s="46"/>
    </row>
    <row r="28" spans="1:10" s="17" customFormat="1" ht="18" x14ac:dyDescent="0.25">
      <c r="A28" s="105" t="s">
        <v>71</v>
      </c>
      <c r="B28" s="106"/>
      <c r="C28" s="106"/>
      <c r="D28" s="106"/>
      <c r="E28" s="106"/>
      <c r="F28" s="7"/>
      <c r="G28" s="7"/>
      <c r="H28" s="165">
        <f>+H22-H23-H24+H25+H26+H27</f>
        <v>1920000</v>
      </c>
      <c r="I28" s="166"/>
      <c r="J28" s="46"/>
    </row>
    <row r="29" spans="1:10" s="17" customFormat="1" ht="21.95" customHeight="1" x14ac:dyDescent="0.2">
      <c r="A29" s="141" t="s">
        <v>21</v>
      </c>
      <c r="B29" s="142"/>
      <c r="C29" s="142"/>
      <c r="D29" s="142"/>
      <c r="E29" s="142"/>
      <c r="F29" s="142"/>
      <c r="G29" s="142"/>
      <c r="H29" s="142"/>
      <c r="I29" s="142"/>
      <c r="J29" s="143"/>
    </row>
    <row r="30" spans="1:10" s="17" customFormat="1" ht="24.75" customHeight="1" x14ac:dyDescent="0.2">
      <c r="A30" s="65" t="s">
        <v>41</v>
      </c>
      <c r="B30" s="109"/>
      <c r="C30" s="109"/>
      <c r="D30" s="64" t="s">
        <v>39</v>
      </c>
      <c r="E30" s="111"/>
      <c r="F30" s="111"/>
      <c r="G30" s="110" t="s">
        <v>40</v>
      </c>
      <c r="H30" s="110"/>
      <c r="I30" s="3" t="s">
        <v>44</v>
      </c>
      <c r="J30" s="46"/>
    </row>
    <row r="31" spans="1:10" s="17" customFormat="1" ht="41.25" customHeight="1" x14ac:dyDescent="0.2">
      <c r="A31" s="132" t="s">
        <v>22</v>
      </c>
      <c r="B31" s="133"/>
      <c r="C31" s="133"/>
      <c r="D31" s="133"/>
      <c r="E31" s="133"/>
      <c r="F31" s="133"/>
      <c r="G31" s="133"/>
      <c r="H31" s="133"/>
      <c r="I31" s="133"/>
      <c r="J31" s="46"/>
    </row>
    <row r="32" spans="1:10" s="17" customFormat="1" ht="14.25" x14ac:dyDescent="0.2">
      <c r="A32" s="45"/>
      <c r="B32" s="12"/>
      <c r="C32" s="8"/>
      <c r="D32" s="8"/>
      <c r="E32" s="8"/>
      <c r="F32" s="119"/>
      <c r="G32" s="119"/>
      <c r="H32" s="128"/>
      <c r="I32" s="128"/>
      <c r="J32" s="46"/>
    </row>
    <row r="33" spans="1:14" s="17" customFormat="1" ht="24.75" x14ac:dyDescent="0.5">
      <c r="A33" s="134" t="s">
        <v>34</v>
      </c>
      <c r="B33" s="135"/>
      <c r="C33" s="135"/>
      <c r="D33" s="135"/>
      <c r="E33" s="135"/>
      <c r="F33" s="135"/>
      <c r="G33" s="135"/>
      <c r="H33" s="135"/>
      <c r="I33" s="135"/>
      <c r="J33" s="136"/>
    </row>
    <row r="34" spans="1:14" s="17" customFormat="1" ht="14.25" customHeight="1" x14ac:dyDescent="0.5">
      <c r="A34" s="68"/>
      <c r="B34" s="69"/>
      <c r="C34" s="69"/>
      <c r="D34" s="69"/>
      <c r="E34" s="69"/>
      <c r="F34" s="69"/>
      <c r="G34" s="69"/>
      <c r="H34" s="69"/>
      <c r="I34" s="69"/>
      <c r="J34" s="70"/>
      <c r="N34" s="24"/>
    </row>
    <row r="35" spans="1:14" s="17" customFormat="1" ht="15.75" customHeight="1" x14ac:dyDescent="0.5">
      <c r="A35" s="68"/>
      <c r="B35" s="69"/>
      <c r="C35" s="25"/>
      <c r="D35" s="25"/>
      <c r="E35" s="25"/>
      <c r="F35" s="25"/>
      <c r="G35" s="69"/>
      <c r="H35" s="69"/>
      <c r="I35" s="69"/>
      <c r="J35" s="70"/>
    </row>
    <row r="36" spans="1:14" s="17" customFormat="1" ht="18" customHeight="1" x14ac:dyDescent="0.25">
      <c r="A36" s="116" t="s">
        <v>23</v>
      </c>
      <c r="B36" s="117"/>
      <c r="C36" s="117"/>
      <c r="D36" s="117"/>
      <c r="E36" s="117"/>
      <c r="F36" s="117"/>
      <c r="G36" s="117"/>
      <c r="H36" s="117"/>
      <c r="I36" s="117"/>
      <c r="J36" s="118"/>
    </row>
    <row r="37" spans="1:14" s="17" customFormat="1" ht="18" customHeight="1" x14ac:dyDescent="0.25">
      <c r="A37" s="116" t="s">
        <v>24</v>
      </c>
      <c r="B37" s="117"/>
      <c r="C37" s="117"/>
      <c r="D37" s="117"/>
      <c r="E37" s="117"/>
      <c r="F37" s="117"/>
      <c r="G37" s="117"/>
      <c r="H37" s="117"/>
      <c r="I37" s="117"/>
      <c r="J37" s="118"/>
    </row>
    <row r="38" spans="1:14" s="17" customFormat="1" ht="18" customHeight="1" x14ac:dyDescent="0.25">
      <c r="A38" s="116" t="s">
        <v>25</v>
      </c>
      <c r="B38" s="117"/>
      <c r="C38" s="117"/>
      <c r="D38" s="117"/>
      <c r="E38" s="117"/>
      <c r="F38" s="117"/>
      <c r="G38" s="117"/>
      <c r="H38" s="117"/>
      <c r="I38" s="117"/>
      <c r="J38" s="118"/>
    </row>
    <row r="39" spans="1:14" s="17" customFormat="1" ht="15" thickBot="1" x14ac:dyDescent="0.25">
      <c r="A39" s="54"/>
      <c r="B39" s="55"/>
      <c r="C39" s="55"/>
      <c r="D39" s="55"/>
      <c r="E39" s="55"/>
      <c r="F39" s="55"/>
      <c r="G39" s="55"/>
      <c r="H39" s="55"/>
      <c r="I39" s="55"/>
      <c r="J39" s="56"/>
    </row>
    <row r="40" spans="1:14" s="17" customFormat="1" ht="15" thickTop="1" x14ac:dyDescent="0.2">
      <c r="A40" s="62"/>
      <c r="B40" s="8"/>
      <c r="C40" s="8"/>
      <c r="D40" s="8"/>
      <c r="E40" s="8"/>
      <c r="F40" s="8"/>
      <c r="G40" s="8"/>
      <c r="H40" s="8"/>
      <c r="I40" s="8"/>
      <c r="J40" s="8"/>
    </row>
    <row r="41" spans="1:14" x14ac:dyDescent="0.2">
      <c r="J41" s="29"/>
    </row>
    <row r="42" spans="1:14" ht="12.75" hidden="1" customHeight="1" x14ac:dyDescent="0.2"/>
    <row r="43" spans="1:14" ht="30" hidden="1" customHeight="1" x14ac:dyDescent="0.4">
      <c r="A43" s="30" t="s">
        <v>2</v>
      </c>
      <c r="B43" s="31"/>
      <c r="D43" s="71" t="s">
        <v>8</v>
      </c>
      <c r="E43" s="33">
        <f ca="1">TODAY()</f>
        <v>45516</v>
      </c>
      <c r="F43" s="121" t="s">
        <v>0</v>
      </c>
      <c r="G43" s="121"/>
      <c r="H43" s="34"/>
      <c r="I43" s="34"/>
      <c r="J43" s="13"/>
    </row>
    <row r="44" spans="1:14" s="17" customFormat="1" ht="14.25" hidden="1" customHeight="1" x14ac:dyDescent="0.2">
      <c r="A44" s="15"/>
      <c r="B44" s="8"/>
      <c r="C44" s="8"/>
      <c r="D44" s="8"/>
      <c r="E44" s="8"/>
      <c r="F44" s="8"/>
      <c r="G44" s="8"/>
      <c r="H44" s="8"/>
      <c r="I44" s="8"/>
      <c r="J44" s="16"/>
    </row>
    <row r="45" spans="1:14" s="17" customFormat="1" ht="21.95" hidden="1" customHeight="1" x14ac:dyDescent="0.25">
      <c r="A45" s="6" t="s">
        <v>4</v>
      </c>
      <c r="B45" s="122" t="s">
        <v>5</v>
      </c>
      <c r="C45" s="122"/>
      <c r="D45" s="122"/>
      <c r="E45" s="122"/>
      <c r="F45" s="123" t="s">
        <v>3</v>
      </c>
      <c r="G45" s="124"/>
      <c r="H45" s="125">
        <v>9500</v>
      </c>
      <c r="I45" s="126"/>
      <c r="J45" s="19"/>
    </row>
    <row r="46" spans="1:14" s="17" customFormat="1" ht="21.95" hidden="1" customHeight="1" x14ac:dyDescent="0.25">
      <c r="A46" s="20" t="s">
        <v>3</v>
      </c>
      <c r="B46" s="127" t="str">
        <f>PESOSMN(H45)</f>
        <v>Nueve Mil Quinientos Pesos 00/100</v>
      </c>
      <c r="C46" s="127"/>
      <c r="D46" s="127"/>
      <c r="E46" s="127"/>
      <c r="F46" s="127"/>
      <c r="G46" s="127"/>
      <c r="H46" s="127"/>
      <c r="I46" s="7"/>
      <c r="J46" s="21"/>
    </row>
    <row r="47" spans="1:14" s="17" customFormat="1" ht="14.25" hidden="1" customHeight="1" x14ac:dyDescent="0.2">
      <c r="A47" s="15"/>
      <c r="B47" s="8"/>
      <c r="C47" s="8"/>
      <c r="D47" s="8"/>
      <c r="E47" s="8"/>
      <c r="F47" s="8"/>
      <c r="G47" s="8"/>
      <c r="H47" s="8"/>
      <c r="I47" s="8"/>
      <c r="J47" s="16"/>
    </row>
    <row r="48" spans="1:14" s="17" customFormat="1" ht="15" hidden="1" customHeight="1" x14ac:dyDescent="0.25">
      <c r="A48" s="6" t="s">
        <v>6</v>
      </c>
      <c r="B48" s="122" t="s">
        <v>7</v>
      </c>
      <c r="C48" s="122"/>
      <c r="D48" s="122"/>
      <c r="E48" s="122"/>
      <c r="F48" s="122"/>
      <c r="G48" s="122"/>
      <c r="H48" s="122"/>
      <c r="I48" s="8"/>
      <c r="J48" s="16"/>
    </row>
    <row r="49" spans="1:10" s="17" customFormat="1" ht="21.95" hidden="1" customHeight="1" x14ac:dyDescent="0.2">
      <c r="A49" s="35"/>
      <c r="B49" s="36"/>
      <c r="C49" s="37"/>
      <c r="D49" s="36"/>
      <c r="E49" s="8"/>
      <c r="F49" s="67" t="s">
        <v>9</v>
      </c>
      <c r="G49" s="10" t="s">
        <v>17</v>
      </c>
      <c r="H49" s="11" t="s">
        <v>10</v>
      </c>
      <c r="I49" s="12"/>
      <c r="J49" s="16"/>
    </row>
    <row r="50" spans="1:10" s="17" customFormat="1" ht="14.25" hidden="1" customHeight="1" x14ac:dyDescent="0.2">
      <c r="A50" s="15"/>
      <c r="B50" s="8"/>
      <c r="C50" s="8"/>
      <c r="D50" s="8"/>
      <c r="E50" s="8"/>
      <c r="F50" s="8"/>
      <c r="G50" s="10" t="s">
        <v>18</v>
      </c>
      <c r="H50" s="11" t="s">
        <v>11</v>
      </c>
      <c r="I50" s="39"/>
      <c r="J50" s="16"/>
    </row>
    <row r="51" spans="1:10" s="17" customFormat="1" ht="15" hidden="1" customHeight="1" x14ac:dyDescent="0.25">
      <c r="A51" s="6" t="s">
        <v>13</v>
      </c>
      <c r="B51" s="122"/>
      <c r="C51" s="122"/>
      <c r="D51" s="122"/>
      <c r="E51" s="8"/>
      <c r="F51" s="9" t="s">
        <v>1</v>
      </c>
      <c r="G51" s="10" t="s">
        <v>18</v>
      </c>
      <c r="H51" s="11" t="s">
        <v>12</v>
      </c>
      <c r="I51" s="12"/>
      <c r="J51" s="16"/>
    </row>
    <row r="52" spans="1:10" s="17" customFormat="1" ht="14.25" hidden="1" customHeight="1" x14ac:dyDescent="0.2">
      <c r="A52" s="15"/>
      <c r="B52" s="12" t="s">
        <v>14</v>
      </c>
      <c r="C52" s="8"/>
      <c r="D52" s="8"/>
      <c r="E52" s="8"/>
      <c r="F52" s="8"/>
      <c r="G52" s="8"/>
      <c r="H52" s="8"/>
      <c r="I52" s="8"/>
      <c r="J52" s="16"/>
    </row>
    <row r="53" spans="1:10" s="17" customFormat="1" ht="14.25" hidden="1" customHeight="1" x14ac:dyDescent="0.2">
      <c r="A53" s="15"/>
      <c r="B53" s="12" t="s">
        <v>15</v>
      </c>
      <c r="C53" s="8"/>
      <c r="D53" s="8"/>
      <c r="E53" s="8"/>
      <c r="F53" s="119"/>
      <c r="G53" s="119"/>
      <c r="H53" s="128"/>
      <c r="I53" s="128"/>
      <c r="J53" s="16"/>
    </row>
    <row r="54" spans="1:10" s="17" customFormat="1" ht="14.25" hidden="1" customHeight="1" x14ac:dyDescent="0.2">
      <c r="A54" s="40"/>
      <c r="B54" s="12" t="s">
        <v>16</v>
      </c>
      <c r="C54" s="8"/>
      <c r="D54" s="8"/>
      <c r="E54" s="8"/>
      <c r="F54" s="119"/>
      <c r="G54" s="119"/>
      <c r="H54" s="128"/>
      <c r="I54" s="128"/>
      <c r="J54" s="16"/>
    </row>
    <row r="55" spans="1:10" s="17" customFormat="1" ht="14.25" hidden="1" customHeight="1" x14ac:dyDescent="0.2">
      <c r="E55" s="8"/>
      <c r="F55" s="119"/>
      <c r="G55" s="119"/>
      <c r="H55" s="120"/>
      <c r="I55" s="120"/>
      <c r="J55" s="16"/>
    </row>
    <row r="56" spans="1:10" s="17" customFormat="1" ht="14.25" hidden="1" customHeight="1" x14ac:dyDescent="0.2">
      <c r="A56" s="26"/>
      <c r="B56" s="27"/>
      <c r="C56" s="27"/>
      <c r="D56" s="27"/>
      <c r="E56" s="27"/>
      <c r="F56" s="27"/>
      <c r="G56" s="27"/>
      <c r="H56" s="27"/>
      <c r="I56" s="27"/>
      <c r="J56" s="28"/>
    </row>
    <row r="57" spans="1:10" ht="12.75" hidden="1" customHeight="1" x14ac:dyDescent="0.2"/>
    <row r="58" spans="1:10" ht="12.75" hidden="1" customHeight="1" x14ac:dyDescent="0.2"/>
    <row r="59" spans="1:10" ht="30" hidden="1" customHeight="1" x14ac:dyDescent="0.4">
      <c r="A59" s="30" t="s">
        <v>2</v>
      </c>
      <c r="B59" s="31"/>
      <c r="D59" s="71" t="s">
        <v>8</v>
      </c>
      <c r="E59" s="33">
        <f ca="1">TODAY()</f>
        <v>45516</v>
      </c>
      <c r="F59" s="121" t="s">
        <v>0</v>
      </c>
      <c r="G59" s="121"/>
      <c r="H59" s="34"/>
      <c r="I59" s="34"/>
      <c r="J59" s="13"/>
    </row>
    <row r="60" spans="1:10" s="17" customFormat="1" ht="14.25" hidden="1" customHeight="1" x14ac:dyDescent="0.2">
      <c r="A60" s="15"/>
      <c r="B60" s="8"/>
      <c r="C60" s="8"/>
      <c r="D60" s="8"/>
      <c r="E60" s="8"/>
      <c r="F60" s="8"/>
      <c r="G60" s="8"/>
      <c r="H60" s="8"/>
      <c r="I60" s="8"/>
      <c r="J60" s="16"/>
    </row>
    <row r="61" spans="1:10" s="17" customFormat="1" ht="21.95" hidden="1" customHeight="1" x14ac:dyDescent="0.25">
      <c r="A61" s="6" t="s">
        <v>4</v>
      </c>
      <c r="B61" s="122" t="s">
        <v>5</v>
      </c>
      <c r="C61" s="122"/>
      <c r="D61" s="122"/>
      <c r="E61" s="122"/>
      <c r="F61" s="123" t="s">
        <v>3</v>
      </c>
      <c r="G61" s="124"/>
      <c r="H61" s="125">
        <v>60</v>
      </c>
      <c r="I61" s="126"/>
      <c r="J61" s="19"/>
    </row>
    <row r="62" spans="1:10" s="17" customFormat="1" ht="21.95" hidden="1" customHeight="1" x14ac:dyDescent="0.25">
      <c r="A62" s="20" t="s">
        <v>3</v>
      </c>
      <c r="B62" s="127" t="str">
        <f>PESOSMN(H61)</f>
        <v>Sesenta Pesos 00/100</v>
      </c>
      <c r="C62" s="127"/>
      <c r="D62" s="127"/>
      <c r="E62" s="127"/>
      <c r="F62" s="127"/>
      <c r="G62" s="127"/>
      <c r="H62" s="127"/>
      <c r="I62" s="7"/>
      <c r="J62" s="21"/>
    </row>
    <row r="63" spans="1:10" s="17" customFormat="1" ht="14.25" hidden="1" customHeight="1" x14ac:dyDescent="0.2">
      <c r="A63" s="15"/>
      <c r="B63" s="8"/>
      <c r="C63" s="8"/>
      <c r="D63" s="8"/>
      <c r="E63" s="8"/>
      <c r="F63" s="8"/>
      <c r="G63" s="8"/>
      <c r="H63" s="8"/>
      <c r="I63" s="8"/>
      <c r="J63" s="16"/>
    </row>
    <row r="64" spans="1:10" s="17" customFormat="1" ht="15" hidden="1" customHeight="1" x14ac:dyDescent="0.25">
      <c r="A64" s="6" t="s">
        <v>6</v>
      </c>
      <c r="B64" s="122" t="s">
        <v>7</v>
      </c>
      <c r="C64" s="122"/>
      <c r="D64" s="122"/>
      <c r="E64" s="122"/>
      <c r="F64" s="122"/>
      <c r="G64" s="122"/>
      <c r="H64" s="122"/>
      <c r="I64" s="8"/>
      <c r="J64" s="16"/>
    </row>
    <row r="65" spans="1:10" s="17" customFormat="1" ht="21.95" hidden="1" customHeight="1" x14ac:dyDescent="0.2">
      <c r="A65" s="35"/>
      <c r="B65" s="36"/>
      <c r="C65" s="37"/>
      <c r="D65" s="36"/>
      <c r="E65" s="8"/>
      <c r="F65" s="67" t="s">
        <v>9</v>
      </c>
      <c r="G65" s="10" t="s">
        <v>17</v>
      </c>
      <c r="H65" s="11" t="s">
        <v>10</v>
      </c>
      <c r="I65" s="12"/>
      <c r="J65" s="16"/>
    </row>
    <row r="66" spans="1:10" s="17" customFormat="1" ht="14.25" hidden="1" customHeight="1" x14ac:dyDescent="0.2">
      <c r="A66" s="15"/>
      <c r="B66" s="8"/>
      <c r="C66" s="8"/>
      <c r="D66" s="8"/>
      <c r="E66" s="8"/>
      <c r="F66" s="8"/>
      <c r="G66" s="10" t="s">
        <v>18</v>
      </c>
      <c r="H66" s="11" t="s">
        <v>11</v>
      </c>
      <c r="I66" s="39"/>
      <c r="J66" s="16"/>
    </row>
    <row r="67" spans="1:10" s="17" customFormat="1" ht="15" hidden="1" customHeight="1" x14ac:dyDescent="0.25">
      <c r="A67" s="6" t="s">
        <v>13</v>
      </c>
      <c r="B67" s="122"/>
      <c r="C67" s="122"/>
      <c r="D67" s="122"/>
      <c r="E67" s="8"/>
      <c r="F67" s="9" t="s">
        <v>1</v>
      </c>
      <c r="G67" s="10" t="s">
        <v>18</v>
      </c>
      <c r="H67" s="11" t="s">
        <v>12</v>
      </c>
      <c r="I67" s="12"/>
      <c r="J67" s="16"/>
    </row>
    <row r="68" spans="1:10" s="17" customFormat="1" ht="14.25" hidden="1" customHeight="1" x14ac:dyDescent="0.2">
      <c r="A68" s="15"/>
      <c r="B68" s="12" t="s">
        <v>14</v>
      </c>
      <c r="C68" s="8"/>
      <c r="D68" s="8"/>
      <c r="E68" s="8"/>
      <c r="F68" s="8"/>
      <c r="G68" s="8"/>
      <c r="H68" s="8"/>
      <c r="I68" s="8"/>
      <c r="J68" s="16"/>
    </row>
    <row r="69" spans="1:10" s="17" customFormat="1" ht="14.25" hidden="1" customHeight="1" x14ac:dyDescent="0.2">
      <c r="A69" s="15"/>
      <c r="B69" s="12" t="s">
        <v>15</v>
      </c>
      <c r="C69" s="8"/>
      <c r="D69" s="8"/>
      <c r="E69" s="8"/>
      <c r="F69" s="119"/>
      <c r="G69" s="119"/>
      <c r="H69" s="128"/>
      <c r="I69" s="128"/>
      <c r="J69" s="16"/>
    </row>
    <row r="70" spans="1:10" s="17" customFormat="1" ht="14.25" hidden="1" customHeight="1" x14ac:dyDescent="0.2">
      <c r="A70" s="40"/>
      <c r="B70" s="12" t="s">
        <v>16</v>
      </c>
      <c r="C70" s="8"/>
      <c r="D70" s="8"/>
      <c r="E70" s="8"/>
      <c r="F70" s="119"/>
      <c r="G70" s="119"/>
      <c r="H70" s="128"/>
      <c r="I70" s="128"/>
      <c r="J70" s="16"/>
    </row>
    <row r="71" spans="1:10" s="17" customFormat="1" ht="14.25" hidden="1" customHeight="1" x14ac:dyDescent="0.2">
      <c r="E71" s="8"/>
      <c r="F71" s="119"/>
      <c r="G71" s="119"/>
      <c r="H71" s="120"/>
      <c r="I71" s="120"/>
      <c r="J71" s="16"/>
    </row>
    <row r="72" spans="1:10" s="17" customFormat="1" ht="14.25" hidden="1" customHeight="1" x14ac:dyDescent="0.2">
      <c r="A72" s="26"/>
      <c r="B72" s="27"/>
      <c r="C72" s="27"/>
      <c r="D72" s="27"/>
      <c r="E72" s="27"/>
      <c r="F72" s="27"/>
      <c r="G72" s="27"/>
      <c r="H72" s="27"/>
      <c r="I72" s="27"/>
      <c r="J72" s="28"/>
    </row>
    <row r="73" spans="1:10" ht="12.75" hidden="1" customHeight="1" x14ac:dyDescent="0.2"/>
    <row r="74" spans="1:10" ht="12.75" hidden="1" customHeight="1" x14ac:dyDescent="0.2"/>
    <row r="75" spans="1:10" ht="12.75" hidden="1" customHeight="1" x14ac:dyDescent="0.2"/>
    <row r="76" spans="1:10" ht="12.75" hidden="1" customHeight="1" x14ac:dyDescent="0.2"/>
    <row r="77" spans="1:10" ht="12.75" hidden="1" customHeight="1" x14ac:dyDescent="0.2"/>
    <row r="78" spans="1:10" ht="12.75" hidden="1" customHeight="1" x14ac:dyDescent="0.2"/>
    <row r="79" spans="1:10" ht="12.75" hidden="1" customHeight="1" x14ac:dyDescent="0.2"/>
    <row r="80" spans="1:10" ht="12.75" hidden="1" customHeight="1" x14ac:dyDescent="0.2"/>
    <row r="81" ht="12.75" hidden="1" customHeight="1" x14ac:dyDescent="0.2"/>
    <row r="82" ht="12.75" hidden="1" customHeight="1" x14ac:dyDescent="0.2"/>
    <row r="83" ht="12.75" hidden="1" customHeight="1" x14ac:dyDescent="0.2"/>
    <row r="84" ht="12.75" hidden="1" customHeight="1" x14ac:dyDescent="0.2"/>
    <row r="85" ht="12.75" hidden="1" customHeight="1" x14ac:dyDescent="0.2"/>
    <row r="86" ht="12.75" hidden="1" customHeight="1" x14ac:dyDescent="0.2"/>
    <row r="87" ht="12.75" hidden="1" customHeight="1" x14ac:dyDescent="0.2"/>
    <row r="88" ht="12.75" hidden="1" customHeight="1" x14ac:dyDescent="0.2"/>
    <row r="89" ht="12.75" hidden="1" customHeight="1" x14ac:dyDescent="0.2"/>
    <row r="90" ht="12.75" hidden="1" customHeight="1" x14ac:dyDescent="0.2"/>
    <row r="91" ht="12.75" hidden="1" customHeight="1" x14ac:dyDescent="0.2"/>
    <row r="92" ht="12.75" hidden="1" customHeight="1" x14ac:dyDescent="0.2"/>
    <row r="93" ht="12.75" hidden="1" customHeight="1" x14ac:dyDescent="0.2"/>
    <row r="94" ht="12.75" hidden="1" customHeight="1" x14ac:dyDescent="0.2"/>
    <row r="95" ht="12.75" hidden="1" customHeight="1" x14ac:dyDescent="0.2"/>
    <row r="96" ht="12.75" hidden="1" customHeight="1" x14ac:dyDescent="0.2"/>
    <row r="97" ht="12.75" hidden="1" customHeight="1" x14ac:dyDescent="0.2"/>
    <row r="98" ht="12.75" hidden="1" customHeight="1" x14ac:dyDescent="0.2"/>
    <row r="99" ht="12.75" hidden="1" customHeight="1" x14ac:dyDescent="0.2"/>
    <row r="100" ht="12.75" hidden="1" customHeight="1" x14ac:dyDescent="0.2"/>
    <row r="101" ht="12.75" hidden="1" customHeight="1" x14ac:dyDescent="0.2"/>
    <row r="102" ht="12.75" hidden="1" customHeight="1" x14ac:dyDescent="0.2"/>
    <row r="103" ht="12.75" hidden="1" customHeight="1" x14ac:dyDescent="0.2"/>
    <row r="104" ht="12.75" hidden="1" customHeight="1" x14ac:dyDescent="0.2"/>
    <row r="105" ht="12.75" hidden="1" customHeight="1" x14ac:dyDescent="0.2"/>
    <row r="106" ht="12.75" hidden="1" customHeight="1" x14ac:dyDescent="0.2"/>
    <row r="107" ht="12.75" hidden="1" customHeight="1" x14ac:dyDescent="0.2"/>
    <row r="108" ht="12.75" hidden="1" customHeight="1" x14ac:dyDescent="0.2"/>
    <row r="109" ht="12.75" hidden="1" customHeight="1" x14ac:dyDescent="0.2"/>
    <row r="110" ht="12.75" hidden="1" customHeight="1" x14ac:dyDescent="0.2"/>
    <row r="111" ht="12.75" hidden="1" customHeight="1" x14ac:dyDescent="0.2"/>
    <row r="112" ht="12.75" hidden="1" customHeight="1" x14ac:dyDescent="0.2"/>
    <row r="113" ht="12.75" hidden="1" customHeight="1" x14ac:dyDescent="0.2"/>
    <row r="114" ht="12.75" hidden="1" customHeight="1" x14ac:dyDescent="0.2"/>
    <row r="115" ht="12.75" hidden="1" customHeight="1" x14ac:dyDescent="0.2"/>
    <row r="116" ht="12.75" hidden="1" customHeight="1" x14ac:dyDescent="0.2"/>
    <row r="117" ht="12.75" hidden="1" customHeight="1" x14ac:dyDescent="0.2"/>
    <row r="118" ht="12.75" hidden="1" customHeight="1" x14ac:dyDescent="0.2"/>
    <row r="119" ht="12.75" hidden="1" customHeight="1" x14ac:dyDescent="0.2"/>
    <row r="120" ht="12.75" hidden="1" customHeight="1" x14ac:dyDescent="0.2"/>
    <row r="121" ht="12.75" hidden="1" customHeight="1" x14ac:dyDescent="0.2"/>
    <row r="122" ht="12.75" hidden="1" customHeight="1" x14ac:dyDescent="0.2"/>
    <row r="123" ht="12.75" hidden="1" customHeight="1" x14ac:dyDescent="0.2"/>
    <row r="124" ht="12.75" hidden="1" customHeight="1" x14ac:dyDescent="0.2"/>
    <row r="125" ht="12.75" hidden="1" customHeight="1" x14ac:dyDescent="0.2"/>
    <row r="126" ht="12.75" hidden="1" customHeight="1" x14ac:dyDescent="0.2"/>
    <row r="127" ht="12.75" hidden="1" customHeight="1" x14ac:dyDescent="0.2"/>
    <row r="128" ht="12.75" hidden="1" customHeight="1" x14ac:dyDescent="0.2"/>
    <row r="129" ht="12.75" hidden="1" customHeight="1" x14ac:dyDescent="0.2"/>
    <row r="130" ht="12.75" hidden="1" customHeight="1" x14ac:dyDescent="0.2"/>
    <row r="131" ht="12.75" hidden="1" customHeight="1" x14ac:dyDescent="0.2"/>
    <row r="132" ht="12.75" hidden="1" customHeight="1" x14ac:dyDescent="0.2"/>
    <row r="133" ht="12.75" hidden="1" customHeight="1" x14ac:dyDescent="0.2"/>
    <row r="134" ht="12.75" hidden="1" customHeight="1" x14ac:dyDescent="0.2"/>
    <row r="135" ht="12.75" hidden="1" customHeight="1" x14ac:dyDescent="0.2"/>
    <row r="136" ht="12.75" hidden="1" customHeight="1" x14ac:dyDescent="0.2"/>
    <row r="137" ht="12.75" hidden="1" customHeight="1" x14ac:dyDescent="0.2"/>
    <row r="138" ht="12.75" hidden="1" customHeight="1" x14ac:dyDescent="0.2"/>
    <row r="139" ht="12.75" hidden="1" customHeight="1" x14ac:dyDescent="0.2"/>
    <row r="140" ht="12.75" hidden="1" customHeight="1" x14ac:dyDescent="0.2"/>
    <row r="141" ht="12.75" hidden="1" customHeight="1" x14ac:dyDescent="0.2"/>
    <row r="142" ht="12.75" hidden="1" customHeight="1" x14ac:dyDescent="0.2"/>
    <row r="143" ht="12.75" hidden="1" customHeight="1" x14ac:dyDescent="0.2"/>
    <row r="144" ht="12.75" hidden="1" customHeight="1" x14ac:dyDescent="0.2"/>
    <row r="145" ht="12.75" hidden="1" customHeight="1" x14ac:dyDescent="0.2"/>
    <row r="146" ht="12.75" hidden="1" customHeight="1" x14ac:dyDescent="0.2"/>
    <row r="147" ht="12.75" hidden="1" customHeight="1" x14ac:dyDescent="0.2"/>
    <row r="148" ht="12.75" hidden="1" customHeight="1" x14ac:dyDescent="0.2"/>
    <row r="149" ht="12.75" hidden="1" customHeight="1" x14ac:dyDescent="0.2"/>
    <row r="150" ht="12.75" hidden="1" customHeight="1" x14ac:dyDescent="0.2"/>
    <row r="151" ht="12.75" hidden="1" customHeight="1" x14ac:dyDescent="0.2"/>
    <row r="152" ht="12.75" hidden="1" customHeight="1" x14ac:dyDescent="0.2"/>
    <row r="153" ht="12.75" hidden="1" customHeight="1" x14ac:dyDescent="0.2"/>
    <row r="154" ht="12.75" hidden="1" customHeight="1" x14ac:dyDescent="0.2"/>
    <row r="155" ht="12.75" hidden="1" customHeight="1" x14ac:dyDescent="0.2"/>
    <row r="156" ht="12.75" hidden="1" customHeight="1" x14ac:dyDescent="0.2"/>
    <row r="157" ht="12.75" hidden="1" customHeight="1" x14ac:dyDescent="0.2"/>
    <row r="158" ht="12.75" hidden="1" customHeight="1" x14ac:dyDescent="0.2"/>
    <row r="159" ht="12.75" hidden="1" customHeight="1" x14ac:dyDescent="0.2"/>
    <row r="160" ht="12.75" hidden="1" customHeight="1" x14ac:dyDescent="0.2"/>
    <row r="161" ht="12.75" hidden="1" customHeight="1" x14ac:dyDescent="0.2"/>
    <row r="162" ht="12.75" hidden="1" customHeight="1" x14ac:dyDescent="0.2"/>
    <row r="163" ht="12.75" hidden="1" customHeight="1" x14ac:dyDescent="0.2"/>
    <row r="164" ht="12.75" hidden="1" customHeight="1" x14ac:dyDescent="0.2"/>
    <row r="165" ht="12.75" hidden="1" customHeight="1" x14ac:dyDescent="0.2"/>
    <row r="166" ht="12.75" hidden="1" customHeight="1" x14ac:dyDescent="0.2"/>
    <row r="167" ht="12.75" hidden="1" customHeight="1" x14ac:dyDescent="0.2"/>
    <row r="168" ht="12.75" hidden="1" customHeight="1" x14ac:dyDescent="0.2"/>
    <row r="169" ht="12.75" hidden="1" customHeight="1" x14ac:dyDescent="0.2"/>
    <row r="170" ht="12.75" hidden="1" customHeight="1" x14ac:dyDescent="0.2"/>
    <row r="171" ht="12.75" hidden="1" customHeight="1" x14ac:dyDescent="0.2"/>
    <row r="172" ht="12.75" hidden="1" customHeight="1" x14ac:dyDescent="0.2"/>
    <row r="173" ht="12.75" hidden="1" customHeight="1" x14ac:dyDescent="0.2"/>
    <row r="174" ht="12.75" hidden="1" customHeight="1" x14ac:dyDescent="0.2"/>
    <row r="175" ht="12.75" hidden="1" customHeight="1" x14ac:dyDescent="0.2"/>
    <row r="176" ht="12.75" hidden="1" customHeight="1" x14ac:dyDescent="0.2"/>
    <row r="177" ht="12.75" hidden="1" customHeight="1" x14ac:dyDescent="0.2"/>
    <row r="178" ht="12.75" hidden="1" customHeight="1" x14ac:dyDescent="0.2"/>
    <row r="179" ht="12.75" hidden="1" customHeight="1" x14ac:dyDescent="0.2"/>
    <row r="180" ht="12.75" hidden="1" customHeight="1" x14ac:dyDescent="0.2"/>
    <row r="181" ht="12.75" hidden="1" customHeight="1" x14ac:dyDescent="0.2"/>
    <row r="182" ht="12.75" hidden="1" customHeight="1" x14ac:dyDescent="0.2"/>
    <row r="183" ht="12.75" hidden="1" customHeight="1" x14ac:dyDescent="0.2"/>
    <row r="184" ht="12.75" hidden="1" customHeight="1" x14ac:dyDescent="0.2"/>
    <row r="185" ht="12.75" hidden="1" customHeight="1" x14ac:dyDescent="0.2"/>
    <row r="186" ht="12.75" hidden="1" customHeight="1" x14ac:dyDescent="0.2"/>
    <row r="187" ht="12.75" hidden="1" customHeight="1" x14ac:dyDescent="0.2"/>
    <row r="188" ht="12.75" hidden="1" customHeight="1" x14ac:dyDescent="0.2"/>
    <row r="189" ht="12.75" hidden="1" customHeight="1" x14ac:dyDescent="0.2"/>
    <row r="190" ht="12.75" hidden="1" customHeight="1" x14ac:dyDescent="0.2"/>
    <row r="191" ht="12.75" hidden="1" customHeight="1" x14ac:dyDescent="0.2"/>
    <row r="192" ht="12.75" hidden="1" customHeight="1" x14ac:dyDescent="0.2"/>
    <row r="193" ht="12.75" hidden="1" customHeight="1" x14ac:dyDescent="0.2"/>
    <row r="194" ht="12.75" hidden="1" customHeight="1" x14ac:dyDescent="0.2"/>
    <row r="195" ht="12.75" hidden="1" customHeight="1" x14ac:dyDescent="0.2"/>
    <row r="196" ht="12.75" hidden="1" customHeight="1" x14ac:dyDescent="0.2"/>
    <row r="197" ht="12.75" hidden="1" customHeight="1" x14ac:dyDescent="0.2"/>
    <row r="198" ht="12.75" hidden="1" customHeight="1" x14ac:dyDescent="0.2"/>
    <row r="199" ht="12.75" hidden="1" customHeight="1" x14ac:dyDescent="0.2"/>
    <row r="200" ht="12.75" hidden="1" customHeight="1" x14ac:dyDescent="0.2"/>
    <row r="201" ht="12.75" hidden="1" customHeight="1" x14ac:dyDescent="0.2"/>
    <row r="202" ht="12.75" hidden="1" customHeight="1" x14ac:dyDescent="0.2"/>
    <row r="203" ht="12.75" hidden="1" customHeight="1" x14ac:dyDescent="0.2"/>
    <row r="204" ht="12.75" hidden="1" customHeight="1" x14ac:dyDescent="0.2"/>
    <row r="205" ht="12.75" hidden="1" customHeight="1" x14ac:dyDescent="0.2"/>
    <row r="206" ht="12.75" hidden="1" customHeight="1" x14ac:dyDescent="0.2"/>
    <row r="207" ht="12.75" hidden="1" customHeight="1" x14ac:dyDescent="0.2"/>
    <row r="208" ht="12.75" hidden="1" customHeight="1" x14ac:dyDescent="0.2"/>
    <row r="209" spans="1:10" ht="12.75" hidden="1" customHeight="1" x14ac:dyDescent="0.2"/>
    <row r="210" spans="1:10" ht="12.75" hidden="1" customHeight="1" x14ac:dyDescent="0.2"/>
    <row r="211" spans="1:10" ht="12.75" hidden="1" customHeight="1" x14ac:dyDescent="0.2"/>
    <row r="212" spans="1:10" ht="12.75" hidden="1" customHeight="1" x14ac:dyDescent="0.2"/>
    <row r="213" spans="1:10" ht="12.75" hidden="1" customHeight="1" x14ac:dyDescent="0.2"/>
    <row r="214" spans="1:10" ht="12.75" hidden="1" customHeight="1" x14ac:dyDescent="0.2"/>
    <row r="215" spans="1:10" ht="12.75" hidden="1" customHeight="1" x14ac:dyDescent="0.2"/>
    <row r="216" spans="1:10" x14ac:dyDescent="0.2">
      <c r="A216" s="41"/>
      <c r="B216" s="58"/>
      <c r="C216" s="58"/>
      <c r="D216" s="58"/>
      <c r="E216" s="41"/>
      <c r="F216" s="41"/>
      <c r="G216" s="58"/>
      <c r="H216" s="58"/>
      <c r="I216" s="58"/>
      <c r="J216" s="41"/>
    </row>
    <row r="217" spans="1:10" x14ac:dyDescent="0.2">
      <c r="A217" s="41"/>
      <c r="B217" s="59"/>
      <c r="C217" s="41"/>
      <c r="D217" s="41"/>
      <c r="E217" s="41"/>
      <c r="F217" s="41"/>
      <c r="G217" s="60"/>
      <c r="H217" s="58"/>
      <c r="I217" s="58"/>
      <c r="J217" s="41"/>
    </row>
    <row r="218" spans="1:10" ht="15" x14ac:dyDescent="0.2">
      <c r="A218" s="41"/>
      <c r="B218" s="61"/>
      <c r="C218" s="41"/>
      <c r="D218" s="57" t="s">
        <v>31</v>
      </c>
      <c r="E218" s="57"/>
      <c r="F218" s="57"/>
      <c r="G218" s="57"/>
      <c r="H218" s="57"/>
      <c r="I218" s="57"/>
      <c r="J218" s="57"/>
    </row>
    <row r="219" spans="1:10" ht="17.25" customHeight="1" x14ac:dyDescent="0.2">
      <c r="A219" s="148" t="s">
        <v>32</v>
      </c>
      <c r="B219" s="149"/>
      <c r="C219" s="149"/>
      <c r="D219" s="149"/>
      <c r="E219" s="149"/>
      <c r="F219" s="149"/>
      <c r="G219" s="149"/>
      <c r="H219" s="149"/>
      <c r="I219" s="149"/>
      <c r="J219" s="149"/>
    </row>
    <row r="220" spans="1:10" ht="15" x14ac:dyDescent="0.2">
      <c r="A220" s="150" t="s">
        <v>33</v>
      </c>
      <c r="B220" s="150"/>
      <c r="C220" s="150"/>
      <c r="D220" s="150"/>
      <c r="E220" s="150"/>
      <c r="F220" s="150"/>
      <c r="G220" s="150"/>
      <c r="H220" s="150"/>
      <c r="I220" s="150"/>
      <c r="J220" s="150"/>
    </row>
  </sheetData>
  <mergeCells count="71">
    <mergeCell ref="F71:G71"/>
    <mergeCell ref="H71:I71"/>
    <mergeCell ref="A219:J219"/>
    <mergeCell ref="A220:J220"/>
    <mergeCell ref="G9:J9"/>
    <mergeCell ref="F70:G70"/>
    <mergeCell ref="H70:I70"/>
    <mergeCell ref="H53:I53"/>
    <mergeCell ref="F54:G54"/>
    <mergeCell ref="H54:I54"/>
    <mergeCell ref="A33:J33"/>
    <mergeCell ref="A36:J36"/>
    <mergeCell ref="A37:J37"/>
    <mergeCell ref="A38:J38"/>
    <mergeCell ref="F43:G43"/>
    <mergeCell ref="B45:E45"/>
    <mergeCell ref="M9:P9"/>
    <mergeCell ref="B62:H62"/>
    <mergeCell ref="B64:H64"/>
    <mergeCell ref="B67:D67"/>
    <mergeCell ref="F69:G69"/>
    <mergeCell ref="H69:I69"/>
    <mergeCell ref="F55:G55"/>
    <mergeCell ref="H55:I55"/>
    <mergeCell ref="F59:G59"/>
    <mergeCell ref="B61:E61"/>
    <mergeCell ref="F61:G61"/>
    <mergeCell ref="H61:I61"/>
    <mergeCell ref="B46:H46"/>
    <mergeCell ref="B48:H48"/>
    <mergeCell ref="B51:D51"/>
    <mergeCell ref="F53:G53"/>
    <mergeCell ref="F45:G45"/>
    <mergeCell ref="H45:I45"/>
    <mergeCell ref="A29:J29"/>
    <mergeCell ref="B30:C30"/>
    <mergeCell ref="E30:F30"/>
    <mergeCell ref="G30:H30"/>
    <mergeCell ref="A31:I31"/>
    <mergeCell ref="F32:G32"/>
    <mergeCell ref="H32:I32"/>
    <mergeCell ref="A23:E23"/>
    <mergeCell ref="H23:I23"/>
    <mergeCell ref="A24:E24"/>
    <mergeCell ref="H24:I24"/>
    <mergeCell ref="A28:E28"/>
    <mergeCell ref="H28:I28"/>
    <mergeCell ref="A25:G25"/>
    <mergeCell ref="H25:I25"/>
    <mergeCell ref="A26:G26"/>
    <mergeCell ref="H26:I26"/>
    <mergeCell ref="A27:G27"/>
    <mergeCell ref="H27:I27"/>
    <mergeCell ref="A22:E22"/>
    <mergeCell ref="H22:I22"/>
    <mergeCell ref="B10:I10"/>
    <mergeCell ref="B12:E12"/>
    <mergeCell ref="F12:G12"/>
    <mergeCell ref="H12:I12"/>
    <mergeCell ref="B13:C13"/>
    <mergeCell ref="B14:I14"/>
    <mergeCell ref="B16:I18"/>
    <mergeCell ref="A20:F20"/>
    <mergeCell ref="H20:I20"/>
    <mergeCell ref="A21:E21"/>
    <mergeCell ref="H21:I21"/>
    <mergeCell ref="A3:J3"/>
    <mergeCell ref="A4:J4"/>
    <mergeCell ref="A5:J5"/>
    <mergeCell ref="A6:J6"/>
    <mergeCell ref="A7:J7"/>
  </mergeCells>
  <hyperlinks>
    <hyperlink ref="A219" r:id="rId1" display="mailto:asociacionindigenalewashii@gmail.com"/>
  </hyperlinks>
  <pageMargins left="0.70866141732283472" right="0.70866141732283472" top="0.74803149606299213" bottom="0.74803149606299213" header="0.31496062992125984" footer="0.31496062992125984"/>
  <pageSetup scale="86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19"/>
  <sheetViews>
    <sheetView showGridLines="0" view="pageBreakPreview" topLeftCell="A4" zoomScaleNormal="100" zoomScaleSheetLayoutView="100" workbookViewId="0">
      <selection activeCell="B10" sqref="B10:I10"/>
    </sheetView>
  </sheetViews>
  <sheetFormatPr baseColWidth="10" defaultColWidth="9.140625" defaultRowHeight="12.75" x14ac:dyDescent="0.2"/>
  <cols>
    <col min="1" max="1" width="17.28515625" style="14" customWidth="1"/>
    <col min="2" max="2" width="14" style="14" customWidth="1"/>
    <col min="3" max="3" width="10.42578125" style="14" customWidth="1"/>
    <col min="4" max="4" width="8.7109375" style="14" customWidth="1"/>
    <col min="5" max="5" width="13.28515625" style="14" customWidth="1"/>
    <col min="6" max="6" width="12.5703125" style="14" customWidth="1"/>
    <col min="7" max="7" width="3.28515625" style="14" bestFit="1" customWidth="1"/>
    <col min="8" max="8" width="7.85546875" style="14" customWidth="1"/>
    <col min="9" max="9" width="14.140625" style="14" customWidth="1"/>
    <col min="10" max="10" width="3.140625" style="14" customWidth="1"/>
    <col min="11" max="11" width="5.5703125" style="14" customWidth="1"/>
    <col min="12" max="12" width="15.7109375" style="14" customWidth="1"/>
    <col min="13" max="16384" width="9.140625" style="14"/>
  </cols>
  <sheetData>
    <row r="1" spans="1:12" x14ac:dyDescent="0.2">
      <c r="A1" s="41"/>
      <c r="B1" s="42"/>
      <c r="C1" s="42"/>
      <c r="D1" s="42"/>
      <c r="E1" s="42"/>
      <c r="F1" s="42"/>
      <c r="G1" s="42"/>
      <c r="H1" s="42"/>
      <c r="I1" s="42"/>
    </row>
    <row r="2" spans="1:12" x14ac:dyDescent="0.2">
      <c r="A2" s="41"/>
      <c r="B2" s="41"/>
      <c r="C2" s="41"/>
      <c r="D2" s="41"/>
      <c r="E2" s="41"/>
      <c r="F2" s="41"/>
      <c r="G2" s="41"/>
      <c r="H2" s="41"/>
      <c r="I2" s="41"/>
    </row>
    <row r="3" spans="1:12" ht="15.75" x14ac:dyDescent="0.2">
      <c r="A3" s="131" t="s">
        <v>26</v>
      </c>
      <c r="B3" s="131"/>
      <c r="C3" s="131"/>
      <c r="D3" s="131"/>
      <c r="E3" s="131"/>
      <c r="F3" s="131"/>
      <c r="G3" s="131"/>
      <c r="H3" s="131"/>
      <c r="I3" s="131"/>
      <c r="J3" s="131"/>
    </row>
    <row r="4" spans="1:12" ht="18.75" x14ac:dyDescent="0.2">
      <c r="A4" s="130" t="s">
        <v>27</v>
      </c>
      <c r="B4" s="130"/>
      <c r="C4" s="130"/>
      <c r="D4" s="130"/>
      <c r="E4" s="130"/>
      <c r="F4" s="130"/>
      <c r="G4" s="130"/>
      <c r="H4" s="130"/>
      <c r="I4" s="130"/>
      <c r="J4" s="130"/>
    </row>
    <row r="5" spans="1:12" ht="15" x14ac:dyDescent="0.2">
      <c r="A5" s="129" t="s">
        <v>28</v>
      </c>
      <c r="B5" s="129"/>
      <c r="C5" s="129"/>
      <c r="D5" s="129"/>
      <c r="E5" s="129"/>
      <c r="F5" s="129"/>
      <c r="G5" s="129"/>
      <c r="H5" s="129"/>
      <c r="I5" s="129"/>
      <c r="J5" s="129"/>
    </row>
    <row r="6" spans="1:12" ht="15.75" x14ac:dyDescent="0.2">
      <c r="A6" s="131" t="s">
        <v>29</v>
      </c>
      <c r="B6" s="131"/>
      <c r="C6" s="131"/>
      <c r="D6" s="131"/>
      <c r="E6" s="131"/>
      <c r="F6" s="131"/>
      <c r="G6" s="131"/>
      <c r="H6" s="131"/>
      <c r="I6" s="131"/>
      <c r="J6" s="131"/>
    </row>
    <row r="7" spans="1:12" ht="18.75" x14ac:dyDescent="0.3">
      <c r="A7" s="151" t="s">
        <v>30</v>
      </c>
      <c r="B7" s="151"/>
      <c r="C7" s="151"/>
      <c r="D7" s="151"/>
      <c r="E7" s="151"/>
      <c r="F7" s="151"/>
      <c r="G7" s="151"/>
      <c r="H7" s="151"/>
      <c r="I7" s="151"/>
      <c r="J7" s="151"/>
    </row>
    <row r="8" spans="1:12" ht="8.25" customHeight="1" thickBot="1" x14ac:dyDescent="0.25"/>
    <row r="9" spans="1:12" ht="30.75" thickTop="1" x14ac:dyDescent="0.4">
      <c r="A9" s="74" t="s">
        <v>57</v>
      </c>
      <c r="B9" s="75"/>
      <c r="C9" s="75"/>
      <c r="D9" s="75"/>
      <c r="E9" s="75"/>
      <c r="F9" s="75"/>
      <c r="G9" s="146" t="s">
        <v>94</v>
      </c>
      <c r="H9" s="146"/>
      <c r="I9" s="146"/>
      <c r="J9" s="147"/>
    </row>
    <row r="10" spans="1:12" ht="23.25" x14ac:dyDescent="0.35">
      <c r="A10" s="43" t="s">
        <v>20</v>
      </c>
      <c r="B10" s="153" t="str">
        <f>+AMBIENTAL!B10:I10</f>
        <v>16 de Agosto de 2023</v>
      </c>
      <c r="C10" s="153"/>
      <c r="D10" s="153"/>
      <c r="E10" s="153"/>
      <c r="F10" s="153"/>
      <c r="G10" s="153"/>
      <c r="H10" s="153"/>
      <c r="I10" s="153"/>
      <c r="J10" s="44"/>
    </row>
    <row r="11" spans="1:12" s="17" customFormat="1" ht="14.25" x14ac:dyDescent="0.2">
      <c r="A11" s="45"/>
      <c r="B11" s="8"/>
      <c r="C11" s="8"/>
      <c r="D11" s="8"/>
      <c r="E11" s="8"/>
      <c r="F11" s="8"/>
      <c r="G11" s="8"/>
      <c r="H11" s="8"/>
      <c r="I11" s="8"/>
      <c r="J11" s="46"/>
      <c r="L11" s="18"/>
    </row>
    <row r="12" spans="1:12" s="17" customFormat="1" ht="21.95" customHeight="1" x14ac:dyDescent="0.25">
      <c r="A12" s="47" t="s">
        <v>19</v>
      </c>
      <c r="B12" s="122" t="s">
        <v>49</v>
      </c>
      <c r="C12" s="122"/>
      <c r="D12" s="122"/>
      <c r="E12" s="122"/>
      <c r="F12" s="123" t="s">
        <v>3</v>
      </c>
      <c r="G12" s="124"/>
      <c r="H12" s="154">
        <f>+H27</f>
        <v>3500000</v>
      </c>
      <c r="I12" s="155"/>
      <c r="J12" s="48"/>
      <c r="L12" s="72"/>
    </row>
    <row r="13" spans="1:12" s="17" customFormat="1" ht="21.95" customHeight="1" x14ac:dyDescent="0.25">
      <c r="A13" s="47" t="s">
        <v>35</v>
      </c>
      <c r="B13" s="152">
        <v>84040183</v>
      </c>
      <c r="C13" s="152"/>
      <c r="D13" s="66" t="s">
        <v>38</v>
      </c>
      <c r="E13" s="66"/>
      <c r="F13" s="73" t="s">
        <v>48</v>
      </c>
      <c r="G13" s="2"/>
      <c r="H13" s="3"/>
      <c r="I13" s="3"/>
      <c r="J13" s="48"/>
      <c r="L13" s="73" t="s">
        <v>46</v>
      </c>
    </row>
    <row r="14" spans="1:12" s="17" customFormat="1" ht="21.95" customHeight="1" x14ac:dyDescent="0.25">
      <c r="A14" s="49" t="s">
        <v>3</v>
      </c>
      <c r="B14" s="115" t="str">
        <f>PESOSMN(H12)</f>
        <v>Tres Millones Quinientos Mil Pesos 00/100</v>
      </c>
      <c r="C14" s="115"/>
      <c r="D14" s="115"/>
      <c r="E14" s="115"/>
      <c r="F14" s="115"/>
      <c r="G14" s="115"/>
      <c r="H14" s="115"/>
      <c r="I14" s="115"/>
      <c r="J14" s="50"/>
    </row>
    <row r="15" spans="1:12" s="17" customFormat="1" ht="15" thickBot="1" x14ac:dyDescent="0.25">
      <c r="A15" s="45"/>
      <c r="B15" s="8"/>
      <c r="C15" s="8"/>
      <c r="D15" s="8"/>
      <c r="E15" s="8"/>
      <c r="F15" s="8"/>
      <c r="G15" s="8"/>
      <c r="H15" s="8"/>
      <c r="I15" s="8"/>
      <c r="J15" s="46"/>
    </row>
    <row r="16" spans="1:12" s="17" customFormat="1" ht="16.5" customHeight="1" thickTop="1" x14ac:dyDescent="0.25">
      <c r="A16" s="47" t="s">
        <v>6</v>
      </c>
      <c r="B16" s="156" t="s">
        <v>83</v>
      </c>
      <c r="C16" s="157"/>
      <c r="D16" s="157"/>
      <c r="E16" s="157"/>
      <c r="F16" s="157"/>
      <c r="G16" s="157"/>
      <c r="H16" s="157"/>
      <c r="I16" s="158"/>
      <c r="J16" s="46"/>
    </row>
    <row r="17" spans="1:10" s="17" customFormat="1" ht="15" x14ac:dyDescent="0.25">
      <c r="A17" s="51"/>
      <c r="B17" s="159"/>
      <c r="C17" s="160"/>
      <c r="D17" s="160"/>
      <c r="E17" s="160"/>
      <c r="F17" s="160"/>
      <c r="G17" s="160"/>
      <c r="H17" s="160"/>
      <c r="I17" s="161"/>
      <c r="J17" s="46"/>
    </row>
    <row r="18" spans="1:10" s="17" customFormat="1" ht="15.75" thickBot="1" x14ac:dyDescent="0.3">
      <c r="A18" s="51"/>
      <c r="B18" s="162"/>
      <c r="C18" s="163"/>
      <c r="D18" s="163"/>
      <c r="E18" s="163"/>
      <c r="F18" s="163"/>
      <c r="G18" s="163"/>
      <c r="H18" s="163"/>
      <c r="I18" s="164"/>
      <c r="J18" s="46"/>
    </row>
    <row r="19" spans="1:10" s="17" customFormat="1" ht="15.75" thickTop="1" x14ac:dyDescent="0.25">
      <c r="A19" s="51"/>
      <c r="B19" s="63"/>
      <c r="C19" s="63"/>
      <c r="D19" s="63"/>
      <c r="E19" s="63"/>
      <c r="F19" s="63"/>
      <c r="G19" s="63"/>
      <c r="H19" s="63"/>
      <c r="I19" s="63"/>
      <c r="J19" s="46"/>
    </row>
    <row r="20" spans="1:10" s="17" customFormat="1" ht="18" x14ac:dyDescent="0.25">
      <c r="A20" s="105" t="s">
        <v>42</v>
      </c>
      <c r="B20" s="106"/>
      <c r="C20" s="106"/>
      <c r="D20" s="106"/>
      <c r="E20" s="106"/>
      <c r="F20" s="106"/>
      <c r="G20" s="63"/>
      <c r="H20" s="154">
        <f>+ROUND(H22/(1+F21),0)</f>
        <v>3500000</v>
      </c>
      <c r="I20" s="155"/>
      <c r="J20" s="46"/>
    </row>
    <row r="21" spans="1:10" s="17" customFormat="1" ht="18" x14ac:dyDescent="0.25">
      <c r="A21" s="105" t="s">
        <v>37</v>
      </c>
      <c r="B21" s="106"/>
      <c r="C21" s="106"/>
      <c r="D21" s="106"/>
      <c r="E21" s="106"/>
      <c r="F21" s="5">
        <v>0</v>
      </c>
      <c r="G21" s="22"/>
      <c r="H21" s="144">
        <f>+ROUND(F21*H20,0)</f>
        <v>0</v>
      </c>
      <c r="I21" s="145"/>
      <c r="J21" s="46"/>
    </row>
    <row r="22" spans="1:10" s="17" customFormat="1" ht="18" x14ac:dyDescent="0.25">
      <c r="A22" s="105" t="s">
        <v>72</v>
      </c>
      <c r="B22" s="106"/>
      <c r="C22" s="106"/>
      <c r="D22" s="106"/>
      <c r="E22" s="106"/>
      <c r="F22" s="63"/>
      <c r="G22" s="63"/>
      <c r="H22" s="107">
        <v>3500000</v>
      </c>
      <c r="I22" s="108"/>
      <c r="J22" s="46"/>
    </row>
    <row r="23" spans="1:10" s="17" customFormat="1" ht="18" x14ac:dyDescent="0.25">
      <c r="A23" s="105" t="s">
        <v>78</v>
      </c>
      <c r="B23" s="106"/>
      <c r="C23" s="106"/>
      <c r="D23" s="106"/>
      <c r="E23" s="106"/>
      <c r="F23" s="5">
        <v>0.06</v>
      </c>
      <c r="G23" s="63"/>
      <c r="H23" s="144">
        <f>+ROUND(F23*H20,0)</f>
        <v>210000</v>
      </c>
      <c r="I23" s="145"/>
      <c r="J23" s="46"/>
    </row>
    <row r="24" spans="1:10" s="17" customFormat="1" ht="18" x14ac:dyDescent="0.25">
      <c r="A24" s="105" t="s">
        <v>36</v>
      </c>
      <c r="B24" s="106"/>
      <c r="C24" s="106"/>
      <c r="D24" s="106"/>
      <c r="E24" s="106"/>
      <c r="F24" s="5"/>
      <c r="G24" s="63"/>
      <c r="H24" s="107"/>
      <c r="I24" s="108"/>
      <c r="J24" s="46"/>
    </row>
    <row r="25" spans="1:10" s="17" customFormat="1" ht="18" x14ac:dyDescent="0.25">
      <c r="A25" s="105" t="s">
        <v>69</v>
      </c>
      <c r="B25" s="106"/>
      <c r="C25" s="106"/>
      <c r="D25" s="106"/>
      <c r="E25" s="106"/>
      <c r="F25" s="106"/>
      <c r="G25" s="112"/>
      <c r="H25" s="113">
        <f>+'RESUMEN de PAGOS'!L5</f>
        <v>0</v>
      </c>
      <c r="I25" s="114"/>
      <c r="J25" s="46"/>
    </row>
    <row r="26" spans="1:10" s="17" customFormat="1" ht="18" x14ac:dyDescent="0.25">
      <c r="A26" s="105" t="s">
        <v>70</v>
      </c>
      <c r="B26" s="106"/>
      <c r="C26" s="106"/>
      <c r="D26" s="106"/>
      <c r="E26" s="106"/>
      <c r="F26" s="106"/>
      <c r="G26" s="112"/>
      <c r="H26" s="113">
        <f>+H23</f>
        <v>210000</v>
      </c>
      <c r="I26" s="114"/>
      <c r="J26" s="46"/>
    </row>
    <row r="27" spans="1:10" s="17" customFormat="1" ht="18" x14ac:dyDescent="0.25">
      <c r="A27" s="105" t="s">
        <v>71</v>
      </c>
      <c r="B27" s="106"/>
      <c r="C27" s="106"/>
      <c r="D27" s="106"/>
      <c r="E27" s="106"/>
      <c r="F27" s="7"/>
      <c r="G27" s="7"/>
      <c r="H27" s="139">
        <f>+H22-H23-H24+H25+H26</f>
        <v>3500000</v>
      </c>
      <c r="I27" s="140"/>
      <c r="J27" s="46"/>
    </row>
    <row r="28" spans="1:10" s="17" customFormat="1" ht="21.95" customHeight="1" x14ac:dyDescent="0.2">
      <c r="A28" s="141" t="s">
        <v>21</v>
      </c>
      <c r="B28" s="142"/>
      <c r="C28" s="142"/>
      <c r="D28" s="142"/>
      <c r="E28" s="142"/>
      <c r="F28" s="142"/>
      <c r="G28" s="142"/>
      <c r="H28" s="142"/>
      <c r="I28" s="142"/>
      <c r="J28" s="143"/>
    </row>
    <row r="29" spans="1:10" s="17" customFormat="1" ht="24.75" customHeight="1" x14ac:dyDescent="0.2">
      <c r="A29" s="65" t="s">
        <v>41</v>
      </c>
      <c r="B29" s="109"/>
      <c r="C29" s="109"/>
      <c r="D29" s="64" t="s">
        <v>39</v>
      </c>
      <c r="E29" s="111"/>
      <c r="F29" s="111"/>
      <c r="G29" s="110" t="s">
        <v>40</v>
      </c>
      <c r="H29" s="110"/>
      <c r="I29" s="3" t="s">
        <v>44</v>
      </c>
      <c r="J29" s="46"/>
    </row>
    <row r="30" spans="1:10" s="17" customFormat="1" ht="36.75" customHeight="1" x14ac:dyDescent="0.2">
      <c r="A30" s="132" t="s">
        <v>22</v>
      </c>
      <c r="B30" s="133"/>
      <c r="C30" s="133"/>
      <c r="D30" s="133"/>
      <c r="E30" s="133"/>
      <c r="F30" s="133"/>
      <c r="G30" s="133"/>
      <c r="H30" s="133"/>
      <c r="I30" s="133"/>
      <c r="J30" s="46"/>
    </row>
    <row r="31" spans="1:10" s="17" customFormat="1" ht="14.25" x14ac:dyDescent="0.2">
      <c r="A31" s="45"/>
      <c r="B31" s="12"/>
      <c r="C31" s="8"/>
      <c r="D31" s="8"/>
      <c r="E31" s="8"/>
      <c r="F31" s="119"/>
      <c r="G31" s="119"/>
      <c r="H31" s="128"/>
      <c r="I31" s="128"/>
      <c r="J31" s="46"/>
    </row>
    <row r="32" spans="1:10" s="17" customFormat="1" ht="24.75" x14ac:dyDescent="0.5">
      <c r="A32" s="134" t="s">
        <v>34</v>
      </c>
      <c r="B32" s="135"/>
      <c r="C32" s="135"/>
      <c r="D32" s="135"/>
      <c r="E32" s="135"/>
      <c r="F32" s="135"/>
      <c r="G32" s="135"/>
      <c r="H32" s="135"/>
      <c r="I32" s="135"/>
      <c r="J32" s="136"/>
    </row>
    <row r="33" spans="1:14" s="17" customFormat="1" ht="14.25" customHeight="1" x14ac:dyDescent="0.5">
      <c r="A33" s="68"/>
      <c r="B33" s="69"/>
      <c r="C33" s="69"/>
      <c r="D33" s="69"/>
      <c r="E33" s="69"/>
      <c r="F33" s="69"/>
      <c r="G33" s="69"/>
      <c r="H33" s="69"/>
      <c r="I33" s="69"/>
      <c r="J33" s="70"/>
      <c r="N33" s="24"/>
    </row>
    <row r="34" spans="1:14" s="17" customFormat="1" ht="14.25" customHeight="1" x14ac:dyDescent="0.5">
      <c r="A34" s="68"/>
      <c r="B34" s="69"/>
      <c r="C34" s="25"/>
      <c r="D34" s="25"/>
      <c r="E34" s="25"/>
      <c r="F34" s="25"/>
      <c r="G34" s="69"/>
      <c r="H34" s="69"/>
      <c r="I34" s="69"/>
      <c r="J34" s="70"/>
    </row>
    <row r="35" spans="1:14" s="17" customFormat="1" ht="18" customHeight="1" x14ac:dyDescent="0.25">
      <c r="A35" s="116" t="s">
        <v>23</v>
      </c>
      <c r="B35" s="117"/>
      <c r="C35" s="117"/>
      <c r="D35" s="117"/>
      <c r="E35" s="117"/>
      <c r="F35" s="117"/>
      <c r="G35" s="117"/>
      <c r="H35" s="117"/>
      <c r="I35" s="117"/>
      <c r="J35" s="118"/>
    </row>
    <row r="36" spans="1:14" s="17" customFormat="1" ht="18" customHeight="1" x14ac:dyDescent="0.25">
      <c r="A36" s="116" t="s">
        <v>24</v>
      </c>
      <c r="B36" s="117"/>
      <c r="C36" s="117"/>
      <c r="D36" s="117"/>
      <c r="E36" s="117"/>
      <c r="F36" s="117"/>
      <c r="G36" s="117"/>
      <c r="H36" s="117"/>
      <c r="I36" s="117"/>
      <c r="J36" s="118"/>
    </row>
    <row r="37" spans="1:14" s="17" customFormat="1" ht="18" customHeight="1" x14ac:dyDescent="0.25">
      <c r="A37" s="116" t="s">
        <v>25</v>
      </c>
      <c r="B37" s="117"/>
      <c r="C37" s="117"/>
      <c r="D37" s="117"/>
      <c r="E37" s="117"/>
      <c r="F37" s="117"/>
      <c r="G37" s="117"/>
      <c r="H37" s="117"/>
      <c r="I37" s="117"/>
      <c r="J37" s="118"/>
    </row>
    <row r="38" spans="1:14" s="17" customFormat="1" ht="15" thickBot="1" x14ac:dyDescent="0.25">
      <c r="A38" s="54"/>
      <c r="B38" s="55"/>
      <c r="C38" s="55"/>
      <c r="D38" s="55"/>
      <c r="E38" s="55"/>
      <c r="F38" s="55"/>
      <c r="G38" s="55"/>
      <c r="H38" s="55"/>
      <c r="I38" s="55"/>
      <c r="J38" s="56"/>
    </row>
    <row r="39" spans="1:14" s="17" customFormat="1" ht="15" thickTop="1" x14ac:dyDescent="0.2">
      <c r="A39" s="62"/>
      <c r="B39" s="8"/>
      <c r="C39" s="8"/>
      <c r="D39" s="8"/>
      <c r="E39" s="8"/>
      <c r="F39" s="8"/>
      <c r="G39" s="8"/>
      <c r="H39" s="8"/>
      <c r="I39" s="8"/>
      <c r="J39" s="8"/>
    </row>
    <row r="40" spans="1:14" x14ac:dyDescent="0.2">
      <c r="J40" s="29"/>
    </row>
    <row r="41" spans="1:14" ht="12.75" hidden="1" customHeight="1" x14ac:dyDescent="0.2"/>
    <row r="42" spans="1:14" ht="30" hidden="1" customHeight="1" x14ac:dyDescent="0.4">
      <c r="A42" s="30" t="s">
        <v>2</v>
      </c>
      <c r="B42" s="31"/>
      <c r="D42" s="71" t="s">
        <v>8</v>
      </c>
      <c r="E42" s="33">
        <f ca="1">TODAY()</f>
        <v>45516</v>
      </c>
      <c r="F42" s="121" t="s">
        <v>0</v>
      </c>
      <c r="G42" s="121"/>
      <c r="H42" s="34"/>
      <c r="I42" s="34"/>
      <c r="J42" s="13"/>
    </row>
    <row r="43" spans="1:14" s="17" customFormat="1" ht="14.25" hidden="1" customHeight="1" x14ac:dyDescent="0.2">
      <c r="A43" s="15"/>
      <c r="B43" s="8"/>
      <c r="C43" s="8"/>
      <c r="D43" s="8"/>
      <c r="E43" s="8"/>
      <c r="F43" s="8"/>
      <c r="G43" s="8"/>
      <c r="H43" s="8"/>
      <c r="I43" s="8"/>
      <c r="J43" s="16"/>
    </row>
    <row r="44" spans="1:14" s="17" customFormat="1" ht="21.95" hidden="1" customHeight="1" x14ac:dyDescent="0.25">
      <c r="A44" s="6" t="s">
        <v>4</v>
      </c>
      <c r="B44" s="122" t="s">
        <v>5</v>
      </c>
      <c r="C44" s="122"/>
      <c r="D44" s="122"/>
      <c r="E44" s="122"/>
      <c r="F44" s="123" t="s">
        <v>3</v>
      </c>
      <c r="G44" s="124"/>
      <c r="H44" s="125">
        <v>9500</v>
      </c>
      <c r="I44" s="126"/>
      <c r="J44" s="19"/>
    </row>
    <row r="45" spans="1:14" s="17" customFormat="1" ht="21.95" hidden="1" customHeight="1" x14ac:dyDescent="0.25">
      <c r="A45" s="20" t="s">
        <v>3</v>
      </c>
      <c r="B45" s="127" t="str">
        <f>PESOSMN(H44)</f>
        <v>Nueve Mil Quinientos Pesos 00/100</v>
      </c>
      <c r="C45" s="127"/>
      <c r="D45" s="127"/>
      <c r="E45" s="127"/>
      <c r="F45" s="127"/>
      <c r="G45" s="127"/>
      <c r="H45" s="127"/>
      <c r="I45" s="7"/>
      <c r="J45" s="21"/>
    </row>
    <row r="46" spans="1:14" s="17" customFormat="1" ht="14.25" hidden="1" customHeight="1" x14ac:dyDescent="0.2">
      <c r="A46" s="15"/>
      <c r="B46" s="8"/>
      <c r="C46" s="8"/>
      <c r="D46" s="8"/>
      <c r="E46" s="8"/>
      <c r="F46" s="8"/>
      <c r="G46" s="8"/>
      <c r="H46" s="8"/>
      <c r="I46" s="8"/>
      <c r="J46" s="16"/>
    </row>
    <row r="47" spans="1:14" s="17" customFormat="1" ht="15" hidden="1" customHeight="1" x14ac:dyDescent="0.25">
      <c r="A47" s="6" t="s">
        <v>6</v>
      </c>
      <c r="B47" s="122" t="s">
        <v>7</v>
      </c>
      <c r="C47" s="122"/>
      <c r="D47" s="122"/>
      <c r="E47" s="122"/>
      <c r="F47" s="122"/>
      <c r="G47" s="122"/>
      <c r="H47" s="122"/>
      <c r="I47" s="8"/>
      <c r="J47" s="16"/>
    </row>
    <row r="48" spans="1:14" s="17" customFormat="1" ht="21.95" hidden="1" customHeight="1" x14ac:dyDescent="0.2">
      <c r="A48" s="35"/>
      <c r="B48" s="36"/>
      <c r="C48" s="37"/>
      <c r="D48" s="36"/>
      <c r="E48" s="8"/>
      <c r="F48" s="67" t="s">
        <v>9</v>
      </c>
      <c r="G48" s="10" t="s">
        <v>17</v>
      </c>
      <c r="H48" s="11" t="s">
        <v>10</v>
      </c>
      <c r="I48" s="12"/>
      <c r="J48" s="16"/>
    </row>
    <row r="49" spans="1:10" s="17" customFormat="1" ht="14.25" hidden="1" customHeight="1" x14ac:dyDescent="0.2">
      <c r="A49" s="15"/>
      <c r="B49" s="8"/>
      <c r="C49" s="8"/>
      <c r="D49" s="8"/>
      <c r="E49" s="8"/>
      <c r="F49" s="8"/>
      <c r="G49" s="10" t="s">
        <v>18</v>
      </c>
      <c r="H49" s="11" t="s">
        <v>11</v>
      </c>
      <c r="I49" s="39"/>
      <c r="J49" s="16"/>
    </row>
    <row r="50" spans="1:10" s="17" customFormat="1" ht="15" hidden="1" customHeight="1" x14ac:dyDescent="0.25">
      <c r="A50" s="6" t="s">
        <v>13</v>
      </c>
      <c r="B50" s="122"/>
      <c r="C50" s="122"/>
      <c r="D50" s="122"/>
      <c r="E50" s="8"/>
      <c r="F50" s="9" t="s">
        <v>1</v>
      </c>
      <c r="G50" s="10" t="s">
        <v>18</v>
      </c>
      <c r="H50" s="11" t="s">
        <v>12</v>
      </c>
      <c r="I50" s="12"/>
      <c r="J50" s="16"/>
    </row>
    <row r="51" spans="1:10" s="17" customFormat="1" ht="14.25" hidden="1" customHeight="1" x14ac:dyDescent="0.2">
      <c r="A51" s="15"/>
      <c r="B51" s="12" t="s">
        <v>14</v>
      </c>
      <c r="C51" s="8"/>
      <c r="D51" s="8"/>
      <c r="E51" s="8"/>
      <c r="F51" s="8"/>
      <c r="G51" s="8"/>
      <c r="H51" s="8"/>
      <c r="I51" s="8"/>
      <c r="J51" s="16"/>
    </row>
    <row r="52" spans="1:10" s="17" customFormat="1" ht="14.25" hidden="1" customHeight="1" x14ac:dyDescent="0.2">
      <c r="A52" s="15"/>
      <c r="B52" s="12" t="s">
        <v>15</v>
      </c>
      <c r="C52" s="8"/>
      <c r="D52" s="8"/>
      <c r="E52" s="8"/>
      <c r="F52" s="119"/>
      <c r="G52" s="119"/>
      <c r="H52" s="128"/>
      <c r="I52" s="128"/>
      <c r="J52" s="16"/>
    </row>
    <row r="53" spans="1:10" s="17" customFormat="1" ht="14.25" hidden="1" customHeight="1" x14ac:dyDescent="0.2">
      <c r="A53" s="40"/>
      <c r="B53" s="12" t="s">
        <v>16</v>
      </c>
      <c r="C53" s="8"/>
      <c r="D53" s="8"/>
      <c r="E53" s="8"/>
      <c r="F53" s="119"/>
      <c r="G53" s="119"/>
      <c r="H53" s="128"/>
      <c r="I53" s="128"/>
      <c r="J53" s="16"/>
    </row>
    <row r="54" spans="1:10" s="17" customFormat="1" ht="14.25" hidden="1" customHeight="1" x14ac:dyDescent="0.2">
      <c r="E54" s="8"/>
      <c r="F54" s="119"/>
      <c r="G54" s="119"/>
      <c r="H54" s="120"/>
      <c r="I54" s="120"/>
      <c r="J54" s="16"/>
    </row>
    <row r="55" spans="1:10" s="17" customFormat="1" ht="14.25" hidden="1" customHeight="1" x14ac:dyDescent="0.2">
      <c r="A55" s="26"/>
      <c r="B55" s="27"/>
      <c r="C55" s="27"/>
      <c r="D55" s="27"/>
      <c r="E55" s="27"/>
      <c r="F55" s="27"/>
      <c r="G55" s="27"/>
      <c r="H55" s="27"/>
      <c r="I55" s="27"/>
      <c r="J55" s="28"/>
    </row>
    <row r="56" spans="1:10" ht="12.75" hidden="1" customHeight="1" x14ac:dyDescent="0.2"/>
    <row r="57" spans="1:10" ht="12.75" hidden="1" customHeight="1" x14ac:dyDescent="0.2"/>
    <row r="58" spans="1:10" ht="30" hidden="1" customHeight="1" x14ac:dyDescent="0.4">
      <c r="A58" s="30" t="s">
        <v>2</v>
      </c>
      <c r="B58" s="31"/>
      <c r="D58" s="71" t="s">
        <v>8</v>
      </c>
      <c r="E58" s="33">
        <f ca="1">TODAY()</f>
        <v>45516</v>
      </c>
      <c r="F58" s="121" t="s">
        <v>0</v>
      </c>
      <c r="G58" s="121"/>
      <c r="H58" s="34"/>
      <c r="I58" s="34"/>
      <c r="J58" s="13"/>
    </row>
    <row r="59" spans="1:10" s="17" customFormat="1" ht="14.25" hidden="1" customHeight="1" x14ac:dyDescent="0.2">
      <c r="A59" s="15"/>
      <c r="B59" s="8"/>
      <c r="C59" s="8"/>
      <c r="D59" s="8"/>
      <c r="E59" s="8"/>
      <c r="F59" s="8"/>
      <c r="G59" s="8"/>
      <c r="H59" s="8"/>
      <c r="I59" s="8"/>
      <c r="J59" s="16"/>
    </row>
    <row r="60" spans="1:10" s="17" customFormat="1" ht="21.95" hidden="1" customHeight="1" x14ac:dyDescent="0.25">
      <c r="A60" s="6" t="s">
        <v>4</v>
      </c>
      <c r="B60" s="122" t="s">
        <v>5</v>
      </c>
      <c r="C60" s="122"/>
      <c r="D60" s="122"/>
      <c r="E60" s="122"/>
      <c r="F60" s="123" t="s">
        <v>3</v>
      </c>
      <c r="G60" s="124"/>
      <c r="H60" s="125">
        <v>60</v>
      </c>
      <c r="I60" s="126"/>
      <c r="J60" s="19"/>
    </row>
    <row r="61" spans="1:10" s="17" customFormat="1" ht="21.95" hidden="1" customHeight="1" x14ac:dyDescent="0.25">
      <c r="A61" s="20" t="s">
        <v>3</v>
      </c>
      <c r="B61" s="127" t="str">
        <f>PESOSMN(H60)</f>
        <v>Sesenta Pesos 00/100</v>
      </c>
      <c r="C61" s="127"/>
      <c r="D61" s="127"/>
      <c r="E61" s="127"/>
      <c r="F61" s="127"/>
      <c r="G61" s="127"/>
      <c r="H61" s="127"/>
      <c r="I61" s="7"/>
      <c r="J61" s="21"/>
    </row>
    <row r="62" spans="1:10" s="17" customFormat="1" ht="14.25" hidden="1" customHeight="1" x14ac:dyDescent="0.2">
      <c r="A62" s="15"/>
      <c r="B62" s="8"/>
      <c r="C62" s="8"/>
      <c r="D62" s="8"/>
      <c r="E62" s="8"/>
      <c r="F62" s="8"/>
      <c r="G62" s="8"/>
      <c r="H62" s="8"/>
      <c r="I62" s="8"/>
      <c r="J62" s="16"/>
    </row>
    <row r="63" spans="1:10" s="17" customFormat="1" ht="15" hidden="1" customHeight="1" x14ac:dyDescent="0.25">
      <c r="A63" s="6" t="s">
        <v>6</v>
      </c>
      <c r="B63" s="122" t="s">
        <v>7</v>
      </c>
      <c r="C63" s="122"/>
      <c r="D63" s="122"/>
      <c r="E63" s="122"/>
      <c r="F63" s="122"/>
      <c r="G63" s="122"/>
      <c r="H63" s="122"/>
      <c r="I63" s="8"/>
      <c r="J63" s="16"/>
    </row>
    <row r="64" spans="1:10" s="17" customFormat="1" ht="21.95" hidden="1" customHeight="1" x14ac:dyDescent="0.2">
      <c r="A64" s="35"/>
      <c r="B64" s="36"/>
      <c r="C64" s="37"/>
      <c r="D64" s="36"/>
      <c r="E64" s="8"/>
      <c r="F64" s="67" t="s">
        <v>9</v>
      </c>
      <c r="G64" s="10" t="s">
        <v>17</v>
      </c>
      <c r="H64" s="11" t="s">
        <v>10</v>
      </c>
      <c r="I64" s="12"/>
      <c r="J64" s="16"/>
    </row>
    <row r="65" spans="1:10" s="17" customFormat="1" ht="14.25" hidden="1" customHeight="1" x14ac:dyDescent="0.2">
      <c r="A65" s="15"/>
      <c r="B65" s="8"/>
      <c r="C65" s="8"/>
      <c r="D65" s="8"/>
      <c r="E65" s="8"/>
      <c r="F65" s="8"/>
      <c r="G65" s="10" t="s">
        <v>18</v>
      </c>
      <c r="H65" s="11" t="s">
        <v>11</v>
      </c>
      <c r="I65" s="39"/>
      <c r="J65" s="16"/>
    </row>
    <row r="66" spans="1:10" s="17" customFormat="1" ht="15" hidden="1" customHeight="1" x14ac:dyDescent="0.25">
      <c r="A66" s="6" t="s">
        <v>13</v>
      </c>
      <c r="B66" s="122"/>
      <c r="C66" s="122"/>
      <c r="D66" s="122"/>
      <c r="E66" s="8"/>
      <c r="F66" s="9" t="s">
        <v>1</v>
      </c>
      <c r="G66" s="10" t="s">
        <v>18</v>
      </c>
      <c r="H66" s="11" t="s">
        <v>12</v>
      </c>
      <c r="I66" s="12"/>
      <c r="J66" s="16"/>
    </row>
    <row r="67" spans="1:10" s="17" customFormat="1" ht="14.25" hidden="1" customHeight="1" x14ac:dyDescent="0.2">
      <c r="A67" s="15"/>
      <c r="B67" s="12" t="s">
        <v>14</v>
      </c>
      <c r="C67" s="8"/>
      <c r="D67" s="8"/>
      <c r="E67" s="8"/>
      <c r="F67" s="8"/>
      <c r="G67" s="8"/>
      <c r="H67" s="8"/>
      <c r="I67" s="8"/>
      <c r="J67" s="16"/>
    </row>
    <row r="68" spans="1:10" s="17" customFormat="1" ht="14.25" hidden="1" customHeight="1" x14ac:dyDescent="0.2">
      <c r="A68" s="15"/>
      <c r="B68" s="12" t="s">
        <v>15</v>
      </c>
      <c r="C68" s="8"/>
      <c r="D68" s="8"/>
      <c r="E68" s="8"/>
      <c r="F68" s="119"/>
      <c r="G68" s="119"/>
      <c r="H68" s="128"/>
      <c r="I68" s="128"/>
      <c r="J68" s="16"/>
    </row>
    <row r="69" spans="1:10" s="17" customFormat="1" ht="14.25" hidden="1" customHeight="1" x14ac:dyDescent="0.2">
      <c r="A69" s="40"/>
      <c r="B69" s="12" t="s">
        <v>16</v>
      </c>
      <c r="C69" s="8"/>
      <c r="D69" s="8"/>
      <c r="E69" s="8"/>
      <c r="F69" s="119"/>
      <c r="G69" s="119"/>
      <c r="H69" s="128"/>
      <c r="I69" s="128"/>
      <c r="J69" s="16"/>
    </row>
    <row r="70" spans="1:10" s="17" customFormat="1" ht="14.25" hidden="1" customHeight="1" x14ac:dyDescent="0.2">
      <c r="E70" s="8"/>
      <c r="F70" s="119"/>
      <c r="G70" s="119"/>
      <c r="H70" s="120"/>
      <c r="I70" s="120"/>
      <c r="J70" s="16"/>
    </row>
    <row r="71" spans="1:10" s="17" customFormat="1" ht="14.25" hidden="1" customHeight="1" x14ac:dyDescent="0.2">
      <c r="A71" s="26"/>
      <c r="B71" s="27"/>
      <c r="C71" s="27"/>
      <c r="D71" s="27"/>
      <c r="E71" s="27"/>
      <c r="F71" s="27"/>
      <c r="G71" s="27"/>
      <c r="H71" s="27"/>
      <c r="I71" s="27"/>
      <c r="J71" s="28"/>
    </row>
    <row r="72" spans="1:10" ht="12.75" hidden="1" customHeight="1" x14ac:dyDescent="0.2"/>
    <row r="73" spans="1:10" ht="12.75" hidden="1" customHeight="1" x14ac:dyDescent="0.2"/>
    <row r="74" spans="1:10" ht="12.75" hidden="1" customHeight="1" x14ac:dyDescent="0.2"/>
    <row r="75" spans="1:10" ht="12.75" hidden="1" customHeight="1" x14ac:dyDescent="0.2"/>
    <row r="76" spans="1:10" ht="12.75" hidden="1" customHeight="1" x14ac:dyDescent="0.2"/>
    <row r="77" spans="1:10" ht="12.75" hidden="1" customHeight="1" x14ac:dyDescent="0.2"/>
    <row r="78" spans="1:10" ht="12.75" hidden="1" customHeight="1" x14ac:dyDescent="0.2"/>
    <row r="79" spans="1:10" ht="12.75" hidden="1" customHeight="1" x14ac:dyDescent="0.2"/>
    <row r="80" spans="1:10" ht="12.75" hidden="1" customHeight="1" x14ac:dyDescent="0.2"/>
    <row r="81" ht="12.75" hidden="1" customHeight="1" x14ac:dyDescent="0.2"/>
    <row r="82" ht="12.75" hidden="1" customHeight="1" x14ac:dyDescent="0.2"/>
    <row r="83" ht="12.75" hidden="1" customHeight="1" x14ac:dyDescent="0.2"/>
    <row r="84" ht="12.75" hidden="1" customHeight="1" x14ac:dyDescent="0.2"/>
    <row r="85" ht="12.75" hidden="1" customHeight="1" x14ac:dyDescent="0.2"/>
    <row r="86" ht="12.75" hidden="1" customHeight="1" x14ac:dyDescent="0.2"/>
    <row r="87" ht="12.75" hidden="1" customHeight="1" x14ac:dyDescent="0.2"/>
    <row r="88" ht="12.75" hidden="1" customHeight="1" x14ac:dyDescent="0.2"/>
    <row r="89" ht="12.75" hidden="1" customHeight="1" x14ac:dyDescent="0.2"/>
    <row r="90" ht="12.75" hidden="1" customHeight="1" x14ac:dyDescent="0.2"/>
    <row r="91" ht="12.75" hidden="1" customHeight="1" x14ac:dyDescent="0.2"/>
    <row r="92" ht="12.75" hidden="1" customHeight="1" x14ac:dyDescent="0.2"/>
    <row r="93" ht="12.75" hidden="1" customHeight="1" x14ac:dyDescent="0.2"/>
    <row r="94" ht="12.75" hidden="1" customHeight="1" x14ac:dyDescent="0.2"/>
    <row r="95" ht="12.75" hidden="1" customHeight="1" x14ac:dyDescent="0.2"/>
    <row r="96" ht="12.75" hidden="1" customHeight="1" x14ac:dyDescent="0.2"/>
    <row r="97" ht="12.75" hidden="1" customHeight="1" x14ac:dyDescent="0.2"/>
    <row r="98" ht="12.75" hidden="1" customHeight="1" x14ac:dyDescent="0.2"/>
    <row r="99" ht="12.75" hidden="1" customHeight="1" x14ac:dyDescent="0.2"/>
    <row r="100" ht="12.75" hidden="1" customHeight="1" x14ac:dyDescent="0.2"/>
    <row r="101" ht="12.75" hidden="1" customHeight="1" x14ac:dyDescent="0.2"/>
    <row r="102" ht="12.75" hidden="1" customHeight="1" x14ac:dyDescent="0.2"/>
    <row r="103" ht="12.75" hidden="1" customHeight="1" x14ac:dyDescent="0.2"/>
    <row r="104" ht="12.75" hidden="1" customHeight="1" x14ac:dyDescent="0.2"/>
    <row r="105" ht="12.75" hidden="1" customHeight="1" x14ac:dyDescent="0.2"/>
    <row r="106" ht="12.75" hidden="1" customHeight="1" x14ac:dyDescent="0.2"/>
    <row r="107" ht="12.75" hidden="1" customHeight="1" x14ac:dyDescent="0.2"/>
    <row r="108" ht="12.75" hidden="1" customHeight="1" x14ac:dyDescent="0.2"/>
    <row r="109" ht="12.75" hidden="1" customHeight="1" x14ac:dyDescent="0.2"/>
    <row r="110" ht="12.75" hidden="1" customHeight="1" x14ac:dyDescent="0.2"/>
    <row r="111" ht="12.75" hidden="1" customHeight="1" x14ac:dyDescent="0.2"/>
    <row r="112" ht="12.75" hidden="1" customHeight="1" x14ac:dyDescent="0.2"/>
    <row r="113" ht="12.75" hidden="1" customHeight="1" x14ac:dyDescent="0.2"/>
    <row r="114" ht="12.75" hidden="1" customHeight="1" x14ac:dyDescent="0.2"/>
    <row r="115" ht="12.75" hidden="1" customHeight="1" x14ac:dyDescent="0.2"/>
    <row r="116" ht="12.75" hidden="1" customHeight="1" x14ac:dyDescent="0.2"/>
    <row r="117" ht="12.75" hidden="1" customHeight="1" x14ac:dyDescent="0.2"/>
    <row r="118" ht="12.75" hidden="1" customHeight="1" x14ac:dyDescent="0.2"/>
    <row r="119" ht="12.75" hidden="1" customHeight="1" x14ac:dyDescent="0.2"/>
    <row r="120" ht="12.75" hidden="1" customHeight="1" x14ac:dyDescent="0.2"/>
    <row r="121" ht="12.75" hidden="1" customHeight="1" x14ac:dyDescent="0.2"/>
    <row r="122" ht="12.75" hidden="1" customHeight="1" x14ac:dyDescent="0.2"/>
    <row r="123" ht="12.75" hidden="1" customHeight="1" x14ac:dyDescent="0.2"/>
    <row r="124" ht="12.75" hidden="1" customHeight="1" x14ac:dyDescent="0.2"/>
    <row r="125" ht="12.75" hidden="1" customHeight="1" x14ac:dyDescent="0.2"/>
    <row r="126" ht="12.75" hidden="1" customHeight="1" x14ac:dyDescent="0.2"/>
    <row r="127" ht="12.75" hidden="1" customHeight="1" x14ac:dyDescent="0.2"/>
    <row r="128" ht="12.75" hidden="1" customHeight="1" x14ac:dyDescent="0.2"/>
    <row r="129" ht="12.75" hidden="1" customHeight="1" x14ac:dyDescent="0.2"/>
    <row r="130" ht="12.75" hidden="1" customHeight="1" x14ac:dyDescent="0.2"/>
    <row r="131" ht="12.75" hidden="1" customHeight="1" x14ac:dyDescent="0.2"/>
    <row r="132" ht="12.75" hidden="1" customHeight="1" x14ac:dyDescent="0.2"/>
    <row r="133" ht="12.75" hidden="1" customHeight="1" x14ac:dyDescent="0.2"/>
    <row r="134" ht="12.75" hidden="1" customHeight="1" x14ac:dyDescent="0.2"/>
    <row r="135" ht="12.75" hidden="1" customHeight="1" x14ac:dyDescent="0.2"/>
    <row r="136" ht="12.75" hidden="1" customHeight="1" x14ac:dyDescent="0.2"/>
    <row r="137" ht="12.75" hidden="1" customHeight="1" x14ac:dyDescent="0.2"/>
    <row r="138" ht="12.75" hidden="1" customHeight="1" x14ac:dyDescent="0.2"/>
    <row r="139" ht="12.75" hidden="1" customHeight="1" x14ac:dyDescent="0.2"/>
    <row r="140" ht="12.75" hidden="1" customHeight="1" x14ac:dyDescent="0.2"/>
    <row r="141" ht="12.75" hidden="1" customHeight="1" x14ac:dyDescent="0.2"/>
    <row r="142" ht="12.75" hidden="1" customHeight="1" x14ac:dyDescent="0.2"/>
    <row r="143" ht="12.75" hidden="1" customHeight="1" x14ac:dyDescent="0.2"/>
    <row r="144" ht="12.75" hidden="1" customHeight="1" x14ac:dyDescent="0.2"/>
    <row r="145" ht="12.75" hidden="1" customHeight="1" x14ac:dyDescent="0.2"/>
    <row r="146" ht="12.75" hidden="1" customHeight="1" x14ac:dyDescent="0.2"/>
    <row r="147" ht="12.75" hidden="1" customHeight="1" x14ac:dyDescent="0.2"/>
    <row r="148" ht="12.75" hidden="1" customHeight="1" x14ac:dyDescent="0.2"/>
    <row r="149" ht="12.75" hidden="1" customHeight="1" x14ac:dyDescent="0.2"/>
    <row r="150" ht="12.75" hidden="1" customHeight="1" x14ac:dyDescent="0.2"/>
    <row r="151" ht="12.75" hidden="1" customHeight="1" x14ac:dyDescent="0.2"/>
    <row r="152" ht="12.75" hidden="1" customHeight="1" x14ac:dyDescent="0.2"/>
    <row r="153" ht="12.75" hidden="1" customHeight="1" x14ac:dyDescent="0.2"/>
    <row r="154" ht="12.75" hidden="1" customHeight="1" x14ac:dyDescent="0.2"/>
    <row r="155" ht="12.75" hidden="1" customHeight="1" x14ac:dyDescent="0.2"/>
    <row r="156" ht="12.75" hidden="1" customHeight="1" x14ac:dyDescent="0.2"/>
    <row r="157" ht="12.75" hidden="1" customHeight="1" x14ac:dyDescent="0.2"/>
    <row r="158" ht="12.75" hidden="1" customHeight="1" x14ac:dyDescent="0.2"/>
    <row r="159" ht="12.75" hidden="1" customHeight="1" x14ac:dyDescent="0.2"/>
    <row r="160" ht="12.75" hidden="1" customHeight="1" x14ac:dyDescent="0.2"/>
    <row r="161" ht="12.75" hidden="1" customHeight="1" x14ac:dyDescent="0.2"/>
    <row r="162" ht="12.75" hidden="1" customHeight="1" x14ac:dyDescent="0.2"/>
    <row r="163" ht="12.75" hidden="1" customHeight="1" x14ac:dyDescent="0.2"/>
    <row r="164" ht="12.75" hidden="1" customHeight="1" x14ac:dyDescent="0.2"/>
    <row r="165" ht="12.75" hidden="1" customHeight="1" x14ac:dyDescent="0.2"/>
    <row r="166" ht="12.75" hidden="1" customHeight="1" x14ac:dyDescent="0.2"/>
    <row r="167" ht="12.75" hidden="1" customHeight="1" x14ac:dyDescent="0.2"/>
    <row r="168" ht="12.75" hidden="1" customHeight="1" x14ac:dyDescent="0.2"/>
    <row r="169" ht="12.75" hidden="1" customHeight="1" x14ac:dyDescent="0.2"/>
    <row r="170" ht="12.75" hidden="1" customHeight="1" x14ac:dyDescent="0.2"/>
    <row r="171" ht="12.75" hidden="1" customHeight="1" x14ac:dyDescent="0.2"/>
    <row r="172" ht="12.75" hidden="1" customHeight="1" x14ac:dyDescent="0.2"/>
    <row r="173" ht="12.75" hidden="1" customHeight="1" x14ac:dyDescent="0.2"/>
    <row r="174" ht="12.75" hidden="1" customHeight="1" x14ac:dyDescent="0.2"/>
    <row r="175" ht="12.75" hidden="1" customHeight="1" x14ac:dyDescent="0.2"/>
    <row r="176" ht="12.75" hidden="1" customHeight="1" x14ac:dyDescent="0.2"/>
    <row r="177" ht="12.75" hidden="1" customHeight="1" x14ac:dyDescent="0.2"/>
    <row r="178" ht="12.75" hidden="1" customHeight="1" x14ac:dyDescent="0.2"/>
    <row r="179" ht="12.75" hidden="1" customHeight="1" x14ac:dyDescent="0.2"/>
    <row r="180" ht="12.75" hidden="1" customHeight="1" x14ac:dyDescent="0.2"/>
    <row r="181" ht="12.75" hidden="1" customHeight="1" x14ac:dyDescent="0.2"/>
    <row r="182" ht="12.75" hidden="1" customHeight="1" x14ac:dyDescent="0.2"/>
    <row r="183" ht="12.75" hidden="1" customHeight="1" x14ac:dyDescent="0.2"/>
    <row r="184" ht="12.75" hidden="1" customHeight="1" x14ac:dyDescent="0.2"/>
    <row r="185" ht="12.75" hidden="1" customHeight="1" x14ac:dyDescent="0.2"/>
    <row r="186" ht="12.75" hidden="1" customHeight="1" x14ac:dyDescent="0.2"/>
    <row r="187" ht="12.75" hidden="1" customHeight="1" x14ac:dyDescent="0.2"/>
    <row r="188" ht="12.75" hidden="1" customHeight="1" x14ac:dyDescent="0.2"/>
    <row r="189" ht="12.75" hidden="1" customHeight="1" x14ac:dyDescent="0.2"/>
    <row r="190" ht="12.75" hidden="1" customHeight="1" x14ac:dyDescent="0.2"/>
    <row r="191" ht="12.75" hidden="1" customHeight="1" x14ac:dyDescent="0.2"/>
    <row r="192" ht="12.75" hidden="1" customHeight="1" x14ac:dyDescent="0.2"/>
    <row r="193" ht="12.75" hidden="1" customHeight="1" x14ac:dyDescent="0.2"/>
    <row r="194" ht="12.75" hidden="1" customHeight="1" x14ac:dyDescent="0.2"/>
    <row r="195" ht="12.75" hidden="1" customHeight="1" x14ac:dyDescent="0.2"/>
    <row r="196" ht="12.75" hidden="1" customHeight="1" x14ac:dyDescent="0.2"/>
    <row r="197" ht="12.75" hidden="1" customHeight="1" x14ac:dyDescent="0.2"/>
    <row r="198" ht="12.75" hidden="1" customHeight="1" x14ac:dyDescent="0.2"/>
    <row r="199" ht="12.75" hidden="1" customHeight="1" x14ac:dyDescent="0.2"/>
    <row r="200" ht="12.75" hidden="1" customHeight="1" x14ac:dyDescent="0.2"/>
    <row r="201" ht="12.75" hidden="1" customHeight="1" x14ac:dyDescent="0.2"/>
    <row r="202" ht="12.75" hidden="1" customHeight="1" x14ac:dyDescent="0.2"/>
    <row r="203" ht="12.75" hidden="1" customHeight="1" x14ac:dyDescent="0.2"/>
    <row r="204" ht="12.75" hidden="1" customHeight="1" x14ac:dyDescent="0.2"/>
    <row r="205" ht="12.75" hidden="1" customHeight="1" x14ac:dyDescent="0.2"/>
    <row r="206" ht="12.75" hidden="1" customHeight="1" x14ac:dyDescent="0.2"/>
    <row r="207" ht="12.75" hidden="1" customHeight="1" x14ac:dyDescent="0.2"/>
    <row r="208" ht="12.75" hidden="1" customHeight="1" x14ac:dyDescent="0.2"/>
    <row r="209" spans="1:10" ht="12.75" hidden="1" customHeight="1" x14ac:dyDescent="0.2"/>
    <row r="210" spans="1:10" ht="12.75" hidden="1" customHeight="1" x14ac:dyDescent="0.2"/>
    <row r="211" spans="1:10" ht="12.75" hidden="1" customHeight="1" x14ac:dyDescent="0.2"/>
    <row r="212" spans="1:10" ht="12.75" hidden="1" customHeight="1" x14ac:dyDescent="0.2"/>
    <row r="213" spans="1:10" ht="12.75" hidden="1" customHeight="1" x14ac:dyDescent="0.2"/>
    <row r="214" spans="1:10" ht="12.75" hidden="1" customHeight="1" x14ac:dyDescent="0.2"/>
    <row r="215" spans="1:10" x14ac:dyDescent="0.2">
      <c r="A215" s="41"/>
      <c r="B215" s="58"/>
      <c r="C215" s="58"/>
      <c r="D215" s="58"/>
      <c r="E215" s="41"/>
      <c r="F215" s="41"/>
      <c r="G215" s="58"/>
      <c r="H215" s="58"/>
      <c r="I215" s="58"/>
      <c r="J215" s="41"/>
    </row>
    <row r="216" spans="1:10" x14ac:dyDescent="0.2">
      <c r="A216" s="41"/>
      <c r="B216" s="59"/>
      <c r="C216" s="41"/>
      <c r="D216" s="41"/>
      <c r="E216" s="41"/>
      <c r="F216" s="41"/>
      <c r="G216" s="60"/>
      <c r="H216" s="58"/>
      <c r="I216" s="58"/>
      <c r="J216" s="41"/>
    </row>
    <row r="217" spans="1:10" ht="15" x14ac:dyDescent="0.2">
      <c r="A217" s="41"/>
      <c r="B217" s="61"/>
      <c r="C217" s="41"/>
      <c r="D217" s="57" t="s">
        <v>31</v>
      </c>
      <c r="E217" s="57"/>
      <c r="F217" s="57"/>
      <c r="G217" s="57"/>
      <c r="H217" s="57"/>
      <c r="I217" s="57"/>
      <c r="J217" s="57"/>
    </row>
    <row r="218" spans="1:10" ht="17.25" customHeight="1" x14ac:dyDescent="0.2">
      <c r="A218" s="148" t="s">
        <v>32</v>
      </c>
      <c r="B218" s="149"/>
      <c r="C218" s="149"/>
      <c r="D218" s="149"/>
      <c r="E218" s="149"/>
      <c r="F218" s="149"/>
      <c r="G218" s="149"/>
      <c r="H218" s="149"/>
      <c r="I218" s="149"/>
      <c r="J218" s="149"/>
    </row>
    <row r="219" spans="1:10" ht="15" x14ac:dyDescent="0.2">
      <c r="A219" s="150" t="s">
        <v>33</v>
      </c>
      <c r="B219" s="150"/>
      <c r="C219" s="150"/>
      <c r="D219" s="150"/>
      <c r="E219" s="150"/>
      <c r="F219" s="150"/>
      <c r="G219" s="150"/>
      <c r="H219" s="150"/>
      <c r="I219" s="150"/>
      <c r="J219" s="150"/>
    </row>
  </sheetData>
  <mergeCells count="68">
    <mergeCell ref="F70:G70"/>
    <mergeCell ref="H70:I70"/>
    <mergeCell ref="A218:J218"/>
    <mergeCell ref="A219:J219"/>
    <mergeCell ref="G9:J9"/>
    <mergeCell ref="B61:H61"/>
    <mergeCell ref="B63:H63"/>
    <mergeCell ref="B66:D66"/>
    <mergeCell ref="F68:G68"/>
    <mergeCell ref="H68:I68"/>
    <mergeCell ref="F69:G69"/>
    <mergeCell ref="H69:I69"/>
    <mergeCell ref="F54:G54"/>
    <mergeCell ref="H54:I54"/>
    <mergeCell ref="F58:G58"/>
    <mergeCell ref="B60:E60"/>
    <mergeCell ref="F60:G60"/>
    <mergeCell ref="H60:I60"/>
    <mergeCell ref="B45:H45"/>
    <mergeCell ref="B47:H47"/>
    <mergeCell ref="B50:D50"/>
    <mergeCell ref="F52:G52"/>
    <mergeCell ref="H52:I52"/>
    <mergeCell ref="F53:G53"/>
    <mergeCell ref="H53:I53"/>
    <mergeCell ref="B44:E44"/>
    <mergeCell ref="F44:G44"/>
    <mergeCell ref="H44:I44"/>
    <mergeCell ref="A28:J28"/>
    <mergeCell ref="B29:C29"/>
    <mergeCell ref="E29:F29"/>
    <mergeCell ref="G29:H29"/>
    <mergeCell ref="A30:I30"/>
    <mergeCell ref="F31:G31"/>
    <mergeCell ref="H31:I31"/>
    <mergeCell ref="A32:J32"/>
    <mergeCell ref="A35:J35"/>
    <mergeCell ref="A36:J36"/>
    <mergeCell ref="A37:J37"/>
    <mergeCell ref="F42:G42"/>
    <mergeCell ref="A23:E23"/>
    <mergeCell ref="H23:I23"/>
    <mergeCell ref="A24:E24"/>
    <mergeCell ref="H24:I24"/>
    <mergeCell ref="A27:E27"/>
    <mergeCell ref="H27:I27"/>
    <mergeCell ref="A25:G25"/>
    <mergeCell ref="H25:I25"/>
    <mergeCell ref="A26:G26"/>
    <mergeCell ref="H26:I26"/>
    <mergeCell ref="A22:E22"/>
    <mergeCell ref="H22:I22"/>
    <mergeCell ref="B10:I10"/>
    <mergeCell ref="B12:E12"/>
    <mergeCell ref="F12:G12"/>
    <mergeCell ref="H12:I12"/>
    <mergeCell ref="B13:C13"/>
    <mergeCell ref="B14:I14"/>
    <mergeCell ref="B16:I18"/>
    <mergeCell ref="A20:F20"/>
    <mergeCell ref="H20:I20"/>
    <mergeCell ref="A21:E21"/>
    <mergeCell ref="H21:I21"/>
    <mergeCell ref="A3:J3"/>
    <mergeCell ref="A4:J4"/>
    <mergeCell ref="A5:J5"/>
    <mergeCell ref="A6:J6"/>
    <mergeCell ref="A7:J7"/>
  </mergeCells>
  <hyperlinks>
    <hyperlink ref="A218" r:id="rId1" display="mailto:asociacionindigenalewashii@gmail.com"/>
  </hyperlinks>
  <pageMargins left="0.70866141732283472" right="0.70866141732283472" top="0.74803149606299213" bottom="0.74803149606299213" header="0.31496062992125984" footer="0.31496062992125984"/>
  <pageSetup scale="88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19"/>
  <sheetViews>
    <sheetView showGridLines="0" view="pageBreakPreview" zoomScaleNormal="100" zoomScaleSheetLayoutView="100" workbookViewId="0">
      <selection activeCell="B10" sqref="B10:I10"/>
    </sheetView>
  </sheetViews>
  <sheetFormatPr baseColWidth="10" defaultColWidth="9.140625" defaultRowHeight="12.75" x14ac:dyDescent="0.2"/>
  <cols>
    <col min="1" max="1" width="17.28515625" style="14" customWidth="1"/>
    <col min="2" max="2" width="14" style="14" customWidth="1"/>
    <col min="3" max="3" width="10.42578125" style="14" customWidth="1"/>
    <col min="4" max="4" width="8.7109375" style="14" customWidth="1"/>
    <col min="5" max="5" width="13.28515625" style="14" customWidth="1"/>
    <col min="6" max="6" width="12.5703125" style="14" customWidth="1"/>
    <col min="7" max="7" width="3.28515625" style="14" bestFit="1" customWidth="1"/>
    <col min="8" max="8" width="7.85546875" style="14" customWidth="1"/>
    <col min="9" max="9" width="14.140625" style="14" customWidth="1"/>
    <col min="10" max="10" width="3.140625" style="14" customWidth="1"/>
    <col min="11" max="11" width="5.5703125" style="14" customWidth="1"/>
    <col min="12" max="12" width="15.7109375" style="14" customWidth="1"/>
    <col min="13" max="16384" width="9.140625" style="14"/>
  </cols>
  <sheetData>
    <row r="1" spans="1:12" x14ac:dyDescent="0.2">
      <c r="A1" s="41"/>
      <c r="B1" s="42"/>
      <c r="C1" s="42"/>
      <c r="D1" s="42"/>
      <c r="E1" s="42"/>
      <c r="F1" s="42"/>
      <c r="G1" s="42"/>
      <c r="H1" s="42"/>
      <c r="I1" s="42"/>
    </row>
    <row r="2" spans="1:12" x14ac:dyDescent="0.2">
      <c r="A2" s="41"/>
      <c r="B2" s="41"/>
      <c r="C2" s="41"/>
      <c r="D2" s="41"/>
      <c r="E2" s="41"/>
      <c r="F2" s="41"/>
      <c r="G2" s="41"/>
      <c r="H2" s="41"/>
      <c r="I2" s="41"/>
    </row>
    <row r="3" spans="1:12" ht="15.75" x14ac:dyDescent="0.2">
      <c r="A3" s="131" t="s">
        <v>26</v>
      </c>
      <c r="B3" s="131"/>
      <c r="C3" s="131"/>
      <c r="D3" s="131"/>
      <c r="E3" s="131"/>
      <c r="F3" s="131"/>
      <c r="G3" s="131"/>
      <c r="H3" s="131"/>
      <c r="I3" s="131"/>
      <c r="J3" s="131"/>
    </row>
    <row r="4" spans="1:12" ht="18.75" x14ac:dyDescent="0.2">
      <c r="A4" s="130" t="s">
        <v>27</v>
      </c>
      <c r="B4" s="130"/>
      <c r="C4" s="130"/>
      <c r="D4" s="130"/>
      <c r="E4" s="130"/>
      <c r="F4" s="130"/>
      <c r="G4" s="130"/>
      <c r="H4" s="130"/>
      <c r="I4" s="130"/>
      <c r="J4" s="130"/>
    </row>
    <row r="5" spans="1:12" ht="15" x14ac:dyDescent="0.2">
      <c r="A5" s="129" t="s">
        <v>28</v>
      </c>
      <c r="B5" s="129"/>
      <c r="C5" s="129"/>
      <c r="D5" s="129"/>
      <c r="E5" s="129"/>
      <c r="F5" s="129"/>
      <c r="G5" s="129"/>
      <c r="H5" s="129"/>
      <c r="I5" s="129"/>
      <c r="J5" s="129"/>
    </row>
    <row r="6" spans="1:12" ht="15.75" x14ac:dyDescent="0.2">
      <c r="A6" s="131" t="s">
        <v>29</v>
      </c>
      <c r="B6" s="131"/>
      <c r="C6" s="131"/>
      <c r="D6" s="131"/>
      <c r="E6" s="131"/>
      <c r="F6" s="131"/>
      <c r="G6" s="131"/>
      <c r="H6" s="131"/>
      <c r="I6" s="131"/>
      <c r="J6" s="131"/>
    </row>
    <row r="7" spans="1:12" ht="18.75" x14ac:dyDescent="0.3">
      <c r="A7" s="151" t="s">
        <v>30</v>
      </c>
      <c r="B7" s="151"/>
      <c r="C7" s="151"/>
      <c r="D7" s="151"/>
      <c r="E7" s="151"/>
      <c r="F7" s="151"/>
      <c r="G7" s="151"/>
      <c r="H7" s="151"/>
      <c r="I7" s="151"/>
      <c r="J7" s="151"/>
    </row>
    <row r="8" spans="1:12" ht="8.25" customHeight="1" thickBot="1" x14ac:dyDescent="0.25"/>
    <row r="9" spans="1:12" ht="30.75" thickTop="1" x14ac:dyDescent="0.4">
      <c r="A9" s="74" t="s">
        <v>57</v>
      </c>
      <c r="B9" s="75"/>
      <c r="C9" s="75"/>
      <c r="D9" s="75"/>
      <c r="E9" s="75"/>
      <c r="F9" s="75"/>
      <c r="G9" s="146" t="s">
        <v>95</v>
      </c>
      <c r="H9" s="146"/>
      <c r="I9" s="146"/>
      <c r="J9" s="147"/>
    </row>
    <row r="10" spans="1:12" ht="23.25" x14ac:dyDescent="0.35">
      <c r="A10" s="43" t="s">
        <v>20</v>
      </c>
      <c r="B10" s="153" t="str">
        <f>+AMBIENTAL!B10:I10</f>
        <v>16 de Agosto de 2023</v>
      </c>
      <c r="C10" s="153"/>
      <c r="D10" s="153"/>
      <c r="E10" s="153"/>
      <c r="F10" s="153"/>
      <c r="G10" s="153"/>
      <c r="H10" s="153"/>
      <c r="I10" s="153"/>
      <c r="J10" s="44"/>
    </row>
    <row r="11" spans="1:12" s="17" customFormat="1" ht="14.25" x14ac:dyDescent="0.2">
      <c r="A11" s="45"/>
      <c r="B11" s="8"/>
      <c r="C11" s="8"/>
      <c r="D11" s="8"/>
      <c r="E11" s="8"/>
      <c r="F11" s="8"/>
      <c r="G11" s="8"/>
      <c r="H11" s="8"/>
      <c r="I11" s="8"/>
      <c r="J11" s="46"/>
      <c r="L11" s="18"/>
    </row>
    <row r="12" spans="1:12" s="17" customFormat="1" ht="21.95" customHeight="1" x14ac:dyDescent="0.25">
      <c r="A12" s="47" t="s">
        <v>19</v>
      </c>
      <c r="B12" s="122" t="s">
        <v>50</v>
      </c>
      <c r="C12" s="122"/>
      <c r="D12" s="122"/>
      <c r="E12" s="122"/>
      <c r="F12" s="123" t="s">
        <v>3</v>
      </c>
      <c r="G12" s="124"/>
      <c r="H12" s="154">
        <f>+H27</f>
        <v>3836655</v>
      </c>
      <c r="I12" s="155"/>
      <c r="J12" s="48"/>
      <c r="L12" s="72"/>
    </row>
    <row r="13" spans="1:12" s="17" customFormat="1" ht="21.95" customHeight="1" x14ac:dyDescent="0.25">
      <c r="A13" s="47" t="s">
        <v>35</v>
      </c>
      <c r="B13" s="152">
        <v>1123992854</v>
      </c>
      <c r="C13" s="152"/>
      <c r="D13" s="66" t="s">
        <v>38</v>
      </c>
      <c r="E13" s="66"/>
      <c r="F13" s="73" t="s">
        <v>48</v>
      </c>
      <c r="G13" s="2"/>
      <c r="H13" s="3"/>
      <c r="I13" s="3"/>
      <c r="J13" s="48"/>
      <c r="L13" s="73" t="s">
        <v>46</v>
      </c>
    </row>
    <row r="14" spans="1:12" s="17" customFormat="1" ht="21.95" customHeight="1" x14ac:dyDescent="0.25">
      <c r="A14" s="49" t="s">
        <v>3</v>
      </c>
      <c r="B14" s="115" t="str">
        <f>PESOSMN(H12)</f>
        <v>Tres Millones Ochocientos Treinta y Seis Mil Seiscientos Cincuenta y Cinco Pesos 00/100</v>
      </c>
      <c r="C14" s="115"/>
      <c r="D14" s="115"/>
      <c r="E14" s="115"/>
      <c r="F14" s="115"/>
      <c r="G14" s="115"/>
      <c r="H14" s="115"/>
      <c r="I14" s="115"/>
      <c r="J14" s="50"/>
    </row>
    <row r="15" spans="1:12" s="17" customFormat="1" ht="15" thickBot="1" x14ac:dyDescent="0.25">
      <c r="A15" s="45"/>
      <c r="B15" s="8"/>
      <c r="C15" s="8"/>
      <c r="D15" s="8"/>
      <c r="E15" s="8"/>
      <c r="F15" s="8"/>
      <c r="G15" s="8"/>
      <c r="H15" s="8"/>
      <c r="I15" s="8"/>
      <c r="J15" s="46"/>
    </row>
    <row r="16" spans="1:12" s="17" customFormat="1" ht="16.5" customHeight="1" thickTop="1" x14ac:dyDescent="0.25">
      <c r="A16" s="47" t="s">
        <v>6</v>
      </c>
      <c r="B16" s="156" t="s">
        <v>84</v>
      </c>
      <c r="C16" s="157"/>
      <c r="D16" s="157"/>
      <c r="E16" s="157"/>
      <c r="F16" s="157"/>
      <c r="G16" s="157"/>
      <c r="H16" s="157"/>
      <c r="I16" s="158"/>
      <c r="J16" s="46"/>
    </row>
    <row r="17" spans="1:10" s="17" customFormat="1" ht="15" x14ac:dyDescent="0.25">
      <c r="A17" s="51"/>
      <c r="B17" s="159"/>
      <c r="C17" s="160"/>
      <c r="D17" s="160"/>
      <c r="E17" s="160"/>
      <c r="F17" s="160"/>
      <c r="G17" s="160"/>
      <c r="H17" s="160"/>
      <c r="I17" s="161"/>
      <c r="J17" s="46"/>
    </row>
    <row r="18" spans="1:10" s="17" customFormat="1" ht="15.75" thickBot="1" x14ac:dyDescent="0.3">
      <c r="A18" s="51"/>
      <c r="B18" s="162"/>
      <c r="C18" s="163"/>
      <c r="D18" s="163"/>
      <c r="E18" s="163"/>
      <c r="F18" s="163"/>
      <c r="G18" s="163"/>
      <c r="H18" s="163"/>
      <c r="I18" s="164"/>
      <c r="J18" s="46"/>
    </row>
    <row r="19" spans="1:10" s="17" customFormat="1" ht="15.75" thickTop="1" x14ac:dyDescent="0.25">
      <c r="A19" s="51"/>
      <c r="B19" s="63"/>
      <c r="C19" s="63"/>
      <c r="D19" s="63"/>
      <c r="E19" s="63"/>
      <c r="F19" s="63"/>
      <c r="G19" s="63"/>
      <c r="H19" s="63"/>
      <c r="I19" s="63"/>
      <c r="J19" s="46"/>
    </row>
    <row r="20" spans="1:10" s="17" customFormat="1" ht="18" x14ac:dyDescent="0.25">
      <c r="A20" s="105" t="s">
        <v>42</v>
      </c>
      <c r="B20" s="106"/>
      <c r="C20" s="106"/>
      <c r="D20" s="106"/>
      <c r="E20" s="106"/>
      <c r="F20" s="106"/>
      <c r="G20" s="63"/>
      <c r="H20" s="154">
        <f>+ROUND(H22/(1+F21),0)</f>
        <v>3500000</v>
      </c>
      <c r="I20" s="155"/>
      <c r="J20" s="46"/>
    </row>
    <row r="21" spans="1:10" s="17" customFormat="1" ht="18" x14ac:dyDescent="0.25">
      <c r="A21" s="105" t="s">
        <v>37</v>
      </c>
      <c r="B21" s="106"/>
      <c r="C21" s="106"/>
      <c r="D21" s="106"/>
      <c r="E21" s="106"/>
      <c r="F21" s="5">
        <v>0</v>
      </c>
      <c r="G21" s="22"/>
      <c r="H21" s="144">
        <f>+ROUND(F21*H20,0)</f>
        <v>0</v>
      </c>
      <c r="I21" s="145"/>
      <c r="J21" s="46"/>
    </row>
    <row r="22" spans="1:10" s="17" customFormat="1" ht="18" x14ac:dyDescent="0.25">
      <c r="A22" s="105" t="s">
        <v>72</v>
      </c>
      <c r="B22" s="106"/>
      <c r="C22" s="106"/>
      <c r="D22" s="106"/>
      <c r="E22" s="106"/>
      <c r="F22" s="63"/>
      <c r="G22" s="63"/>
      <c r="H22" s="107">
        <v>3500000</v>
      </c>
      <c r="I22" s="108"/>
      <c r="J22" s="46"/>
    </row>
    <row r="23" spans="1:10" s="17" customFormat="1" ht="18" x14ac:dyDescent="0.25">
      <c r="A23" s="105" t="s">
        <v>43</v>
      </c>
      <c r="B23" s="106"/>
      <c r="C23" s="106"/>
      <c r="D23" s="106"/>
      <c r="E23" s="106"/>
      <c r="F23" s="5">
        <v>0.06</v>
      </c>
      <c r="G23" s="63"/>
      <c r="H23" s="144">
        <f>+ROUND(F23*H20,0)</f>
        <v>210000</v>
      </c>
      <c r="I23" s="145"/>
      <c r="J23" s="46"/>
    </row>
    <row r="24" spans="1:10" s="17" customFormat="1" ht="18" x14ac:dyDescent="0.25">
      <c r="A24" s="105" t="s">
        <v>36</v>
      </c>
      <c r="B24" s="106"/>
      <c r="C24" s="106"/>
      <c r="D24" s="106"/>
      <c r="E24" s="106"/>
      <c r="F24" s="5"/>
      <c r="G24" s="63"/>
      <c r="H24" s="107"/>
      <c r="I24" s="108"/>
      <c r="J24" s="46"/>
    </row>
    <row r="25" spans="1:10" s="17" customFormat="1" ht="18" x14ac:dyDescent="0.25">
      <c r="A25" s="105" t="s">
        <v>69</v>
      </c>
      <c r="B25" s="106"/>
      <c r="C25" s="106"/>
      <c r="D25" s="106"/>
      <c r="E25" s="106"/>
      <c r="F25" s="106"/>
      <c r="G25" s="112"/>
      <c r="H25" s="113">
        <f>+'RESUMEN de PAGOS'!L6</f>
        <v>336655</v>
      </c>
      <c r="I25" s="114"/>
      <c r="J25" s="46"/>
    </row>
    <row r="26" spans="1:10" s="17" customFormat="1" ht="18" x14ac:dyDescent="0.25">
      <c r="A26" s="105" t="s">
        <v>70</v>
      </c>
      <c r="B26" s="106"/>
      <c r="C26" s="106"/>
      <c r="D26" s="106"/>
      <c r="E26" s="106"/>
      <c r="F26" s="106"/>
      <c r="G26" s="112"/>
      <c r="H26" s="113">
        <f>+H23</f>
        <v>210000</v>
      </c>
      <c r="I26" s="114"/>
      <c r="J26" s="46"/>
    </row>
    <row r="27" spans="1:10" s="17" customFormat="1" ht="18" x14ac:dyDescent="0.25">
      <c r="A27" s="105" t="s">
        <v>71</v>
      </c>
      <c r="B27" s="106"/>
      <c r="C27" s="106"/>
      <c r="D27" s="106"/>
      <c r="E27" s="106"/>
      <c r="F27" s="7"/>
      <c r="G27" s="7"/>
      <c r="H27" s="139">
        <f>+H22-H23-H24+H25+H26</f>
        <v>3836655</v>
      </c>
      <c r="I27" s="140"/>
      <c r="J27" s="46"/>
    </row>
    <row r="28" spans="1:10" s="17" customFormat="1" ht="21.95" customHeight="1" x14ac:dyDescent="0.2">
      <c r="A28" s="141" t="s">
        <v>21</v>
      </c>
      <c r="B28" s="142"/>
      <c r="C28" s="142"/>
      <c r="D28" s="142"/>
      <c r="E28" s="142"/>
      <c r="F28" s="142"/>
      <c r="G28" s="142"/>
      <c r="H28" s="142"/>
      <c r="I28" s="142"/>
      <c r="J28" s="143"/>
    </row>
    <row r="29" spans="1:10" s="17" customFormat="1" ht="24.75" customHeight="1" x14ac:dyDescent="0.2">
      <c r="A29" s="65" t="s">
        <v>41</v>
      </c>
      <c r="B29" s="109"/>
      <c r="C29" s="109"/>
      <c r="D29" s="64" t="s">
        <v>39</v>
      </c>
      <c r="E29" s="111"/>
      <c r="F29" s="111"/>
      <c r="G29" s="110" t="s">
        <v>40</v>
      </c>
      <c r="H29" s="110"/>
      <c r="I29" s="3" t="s">
        <v>44</v>
      </c>
      <c r="J29" s="46"/>
    </row>
    <row r="30" spans="1:10" s="17" customFormat="1" ht="41.25" customHeight="1" x14ac:dyDescent="0.2">
      <c r="A30" s="132" t="s">
        <v>22</v>
      </c>
      <c r="B30" s="133"/>
      <c r="C30" s="133"/>
      <c r="D30" s="133"/>
      <c r="E30" s="133"/>
      <c r="F30" s="133"/>
      <c r="G30" s="133"/>
      <c r="H30" s="133"/>
      <c r="I30" s="133"/>
      <c r="J30" s="46"/>
    </row>
    <row r="31" spans="1:10" s="17" customFormat="1" ht="14.25" x14ac:dyDescent="0.2">
      <c r="A31" s="45"/>
      <c r="B31" s="12"/>
      <c r="C31" s="8"/>
      <c r="D31" s="8"/>
      <c r="E31" s="8"/>
      <c r="F31" s="119"/>
      <c r="G31" s="119"/>
      <c r="H31" s="128"/>
      <c r="I31" s="128"/>
      <c r="J31" s="46"/>
    </row>
    <row r="32" spans="1:10" s="17" customFormat="1" ht="24.75" x14ac:dyDescent="0.5">
      <c r="A32" s="134" t="s">
        <v>34</v>
      </c>
      <c r="B32" s="135"/>
      <c r="C32" s="135"/>
      <c r="D32" s="135"/>
      <c r="E32" s="135"/>
      <c r="F32" s="135"/>
      <c r="G32" s="135"/>
      <c r="H32" s="135"/>
      <c r="I32" s="135"/>
      <c r="J32" s="136"/>
    </row>
    <row r="33" spans="1:14" s="17" customFormat="1" ht="13.5" customHeight="1" x14ac:dyDescent="0.5">
      <c r="A33" s="68"/>
      <c r="B33" s="69"/>
      <c r="C33" s="69"/>
      <c r="D33" s="69"/>
      <c r="E33" s="69"/>
      <c r="F33" s="69"/>
      <c r="G33" s="69"/>
      <c r="H33" s="69"/>
      <c r="I33" s="69"/>
      <c r="J33" s="70"/>
      <c r="N33" s="24"/>
    </row>
    <row r="34" spans="1:14" s="17" customFormat="1" ht="15.75" customHeight="1" x14ac:dyDescent="0.5">
      <c r="A34" s="68"/>
      <c r="B34" s="69"/>
      <c r="C34" s="25"/>
      <c r="D34" s="25"/>
      <c r="E34" s="25"/>
      <c r="F34" s="25"/>
      <c r="G34" s="69"/>
      <c r="H34" s="69"/>
      <c r="I34" s="69"/>
      <c r="J34" s="70"/>
    </row>
    <row r="35" spans="1:14" s="17" customFormat="1" ht="18" customHeight="1" x14ac:dyDescent="0.25">
      <c r="A35" s="116" t="s">
        <v>23</v>
      </c>
      <c r="B35" s="117"/>
      <c r="C35" s="117"/>
      <c r="D35" s="117"/>
      <c r="E35" s="117"/>
      <c r="F35" s="117"/>
      <c r="G35" s="117"/>
      <c r="H35" s="117"/>
      <c r="I35" s="117"/>
      <c r="J35" s="118"/>
    </row>
    <row r="36" spans="1:14" s="17" customFormat="1" ht="18" customHeight="1" x14ac:dyDescent="0.25">
      <c r="A36" s="116" t="s">
        <v>24</v>
      </c>
      <c r="B36" s="117"/>
      <c r="C36" s="117"/>
      <c r="D36" s="117"/>
      <c r="E36" s="117"/>
      <c r="F36" s="117"/>
      <c r="G36" s="117"/>
      <c r="H36" s="117"/>
      <c r="I36" s="117"/>
      <c r="J36" s="118"/>
    </row>
    <row r="37" spans="1:14" s="17" customFormat="1" ht="18" customHeight="1" x14ac:dyDescent="0.25">
      <c r="A37" s="116" t="s">
        <v>25</v>
      </c>
      <c r="B37" s="117"/>
      <c r="C37" s="117"/>
      <c r="D37" s="117"/>
      <c r="E37" s="117"/>
      <c r="F37" s="117"/>
      <c r="G37" s="117"/>
      <c r="H37" s="117"/>
      <c r="I37" s="117"/>
      <c r="J37" s="118"/>
    </row>
    <row r="38" spans="1:14" s="17" customFormat="1" ht="15" thickBot="1" x14ac:dyDescent="0.25">
      <c r="A38" s="54"/>
      <c r="B38" s="55"/>
      <c r="C38" s="55"/>
      <c r="D38" s="55"/>
      <c r="E38" s="55"/>
      <c r="F38" s="55"/>
      <c r="G38" s="55"/>
      <c r="H38" s="55"/>
      <c r="I38" s="55"/>
      <c r="J38" s="56"/>
    </row>
    <row r="39" spans="1:14" s="17" customFormat="1" ht="15" thickTop="1" x14ac:dyDescent="0.2">
      <c r="A39" s="62"/>
      <c r="B39" s="8"/>
      <c r="C39" s="8"/>
      <c r="D39" s="8"/>
      <c r="E39" s="8"/>
      <c r="F39" s="8"/>
      <c r="G39" s="8"/>
      <c r="H39" s="8"/>
      <c r="I39" s="8"/>
      <c r="J39" s="8"/>
    </row>
    <row r="40" spans="1:14" x14ac:dyDescent="0.2">
      <c r="J40" s="29"/>
    </row>
    <row r="41" spans="1:14" ht="12.75" hidden="1" customHeight="1" x14ac:dyDescent="0.2"/>
    <row r="42" spans="1:14" ht="30" hidden="1" customHeight="1" x14ac:dyDescent="0.4">
      <c r="A42" s="30" t="s">
        <v>2</v>
      </c>
      <c r="B42" s="31"/>
      <c r="D42" s="71" t="s">
        <v>8</v>
      </c>
      <c r="E42" s="33">
        <f ca="1">TODAY()</f>
        <v>45516</v>
      </c>
      <c r="F42" s="121" t="s">
        <v>0</v>
      </c>
      <c r="G42" s="121"/>
      <c r="H42" s="34"/>
      <c r="I42" s="34"/>
      <c r="J42" s="13"/>
    </row>
    <row r="43" spans="1:14" s="17" customFormat="1" ht="14.25" hidden="1" customHeight="1" x14ac:dyDescent="0.2">
      <c r="A43" s="15"/>
      <c r="B43" s="8"/>
      <c r="C43" s="8"/>
      <c r="D43" s="8"/>
      <c r="E43" s="8"/>
      <c r="F43" s="8"/>
      <c r="G43" s="8"/>
      <c r="H43" s="8"/>
      <c r="I43" s="8"/>
      <c r="J43" s="16"/>
    </row>
    <row r="44" spans="1:14" s="17" customFormat="1" ht="21.95" hidden="1" customHeight="1" x14ac:dyDescent="0.25">
      <c r="A44" s="6" t="s">
        <v>4</v>
      </c>
      <c r="B44" s="122" t="s">
        <v>5</v>
      </c>
      <c r="C44" s="122"/>
      <c r="D44" s="122"/>
      <c r="E44" s="122"/>
      <c r="F44" s="123" t="s">
        <v>3</v>
      </c>
      <c r="G44" s="124"/>
      <c r="H44" s="125">
        <v>9500</v>
      </c>
      <c r="I44" s="126"/>
      <c r="J44" s="19"/>
    </row>
    <row r="45" spans="1:14" s="17" customFormat="1" ht="21.95" hidden="1" customHeight="1" x14ac:dyDescent="0.25">
      <c r="A45" s="20" t="s">
        <v>3</v>
      </c>
      <c r="B45" s="127" t="str">
        <f>PESOSMN(H44)</f>
        <v>Nueve Mil Quinientos Pesos 00/100</v>
      </c>
      <c r="C45" s="127"/>
      <c r="D45" s="127"/>
      <c r="E45" s="127"/>
      <c r="F45" s="127"/>
      <c r="G45" s="127"/>
      <c r="H45" s="127"/>
      <c r="I45" s="7"/>
      <c r="J45" s="21"/>
    </row>
    <row r="46" spans="1:14" s="17" customFormat="1" ht="14.25" hidden="1" customHeight="1" x14ac:dyDescent="0.2">
      <c r="A46" s="15"/>
      <c r="B46" s="8"/>
      <c r="C46" s="8"/>
      <c r="D46" s="8"/>
      <c r="E46" s="8"/>
      <c r="F46" s="8"/>
      <c r="G46" s="8"/>
      <c r="H46" s="8"/>
      <c r="I46" s="8"/>
      <c r="J46" s="16"/>
    </row>
    <row r="47" spans="1:14" s="17" customFormat="1" ht="15" hidden="1" customHeight="1" x14ac:dyDescent="0.25">
      <c r="A47" s="6" t="s">
        <v>6</v>
      </c>
      <c r="B47" s="122" t="s">
        <v>7</v>
      </c>
      <c r="C47" s="122"/>
      <c r="D47" s="122"/>
      <c r="E47" s="122"/>
      <c r="F47" s="122"/>
      <c r="G47" s="122"/>
      <c r="H47" s="122"/>
      <c r="I47" s="8"/>
      <c r="J47" s="16"/>
    </row>
    <row r="48" spans="1:14" s="17" customFormat="1" ht="21.95" hidden="1" customHeight="1" x14ac:dyDescent="0.2">
      <c r="A48" s="35"/>
      <c r="B48" s="36"/>
      <c r="C48" s="37"/>
      <c r="D48" s="36"/>
      <c r="E48" s="8"/>
      <c r="F48" s="67" t="s">
        <v>9</v>
      </c>
      <c r="G48" s="10" t="s">
        <v>17</v>
      </c>
      <c r="H48" s="11" t="s">
        <v>10</v>
      </c>
      <c r="I48" s="12"/>
      <c r="J48" s="16"/>
    </row>
    <row r="49" spans="1:10" s="17" customFormat="1" ht="14.25" hidden="1" customHeight="1" x14ac:dyDescent="0.2">
      <c r="A49" s="15"/>
      <c r="B49" s="8"/>
      <c r="C49" s="8"/>
      <c r="D49" s="8"/>
      <c r="E49" s="8"/>
      <c r="F49" s="8"/>
      <c r="G49" s="10" t="s">
        <v>18</v>
      </c>
      <c r="H49" s="11" t="s">
        <v>11</v>
      </c>
      <c r="I49" s="39"/>
      <c r="J49" s="16"/>
    </row>
    <row r="50" spans="1:10" s="17" customFormat="1" ht="15" hidden="1" customHeight="1" x14ac:dyDescent="0.25">
      <c r="A50" s="6" t="s">
        <v>13</v>
      </c>
      <c r="B50" s="122"/>
      <c r="C50" s="122"/>
      <c r="D50" s="122"/>
      <c r="E50" s="8"/>
      <c r="F50" s="9" t="s">
        <v>1</v>
      </c>
      <c r="G50" s="10" t="s">
        <v>18</v>
      </c>
      <c r="H50" s="11" t="s">
        <v>12</v>
      </c>
      <c r="I50" s="12"/>
      <c r="J50" s="16"/>
    </row>
    <row r="51" spans="1:10" s="17" customFormat="1" ht="14.25" hidden="1" customHeight="1" x14ac:dyDescent="0.2">
      <c r="A51" s="15"/>
      <c r="B51" s="12" t="s">
        <v>14</v>
      </c>
      <c r="C51" s="8"/>
      <c r="D51" s="8"/>
      <c r="E51" s="8"/>
      <c r="F51" s="8"/>
      <c r="G51" s="8"/>
      <c r="H51" s="8"/>
      <c r="I51" s="8"/>
      <c r="J51" s="16"/>
    </row>
    <row r="52" spans="1:10" s="17" customFormat="1" ht="14.25" hidden="1" customHeight="1" x14ac:dyDescent="0.2">
      <c r="A52" s="15"/>
      <c r="B52" s="12" t="s">
        <v>15</v>
      </c>
      <c r="C52" s="8"/>
      <c r="D52" s="8"/>
      <c r="E52" s="8"/>
      <c r="F52" s="119"/>
      <c r="G52" s="119"/>
      <c r="H52" s="128"/>
      <c r="I52" s="128"/>
      <c r="J52" s="16"/>
    </row>
    <row r="53" spans="1:10" s="17" customFormat="1" ht="14.25" hidden="1" customHeight="1" x14ac:dyDescent="0.2">
      <c r="A53" s="40"/>
      <c r="B53" s="12" t="s">
        <v>16</v>
      </c>
      <c r="C53" s="8"/>
      <c r="D53" s="8"/>
      <c r="E53" s="8"/>
      <c r="F53" s="119"/>
      <c r="G53" s="119"/>
      <c r="H53" s="128"/>
      <c r="I53" s="128"/>
      <c r="J53" s="16"/>
    </row>
    <row r="54" spans="1:10" s="17" customFormat="1" ht="14.25" hidden="1" customHeight="1" x14ac:dyDescent="0.2">
      <c r="E54" s="8"/>
      <c r="F54" s="119"/>
      <c r="G54" s="119"/>
      <c r="H54" s="120"/>
      <c r="I54" s="120"/>
      <c r="J54" s="16"/>
    </row>
    <row r="55" spans="1:10" s="17" customFormat="1" ht="14.25" hidden="1" customHeight="1" x14ac:dyDescent="0.2">
      <c r="A55" s="26"/>
      <c r="B55" s="27"/>
      <c r="C55" s="27"/>
      <c r="D55" s="27"/>
      <c r="E55" s="27"/>
      <c r="F55" s="27"/>
      <c r="G55" s="27"/>
      <c r="H55" s="27"/>
      <c r="I55" s="27"/>
      <c r="J55" s="28"/>
    </row>
    <row r="56" spans="1:10" ht="12.75" hidden="1" customHeight="1" x14ac:dyDescent="0.2"/>
    <row r="57" spans="1:10" ht="12.75" hidden="1" customHeight="1" x14ac:dyDescent="0.2"/>
    <row r="58" spans="1:10" ht="30" hidden="1" customHeight="1" x14ac:dyDescent="0.4">
      <c r="A58" s="30" t="s">
        <v>2</v>
      </c>
      <c r="B58" s="31"/>
      <c r="D58" s="71" t="s">
        <v>8</v>
      </c>
      <c r="E58" s="33">
        <f ca="1">TODAY()</f>
        <v>45516</v>
      </c>
      <c r="F58" s="121" t="s">
        <v>0</v>
      </c>
      <c r="G58" s="121"/>
      <c r="H58" s="34"/>
      <c r="I58" s="34"/>
      <c r="J58" s="13"/>
    </row>
    <row r="59" spans="1:10" s="17" customFormat="1" ht="14.25" hidden="1" customHeight="1" x14ac:dyDescent="0.2">
      <c r="A59" s="15"/>
      <c r="B59" s="8"/>
      <c r="C59" s="8"/>
      <c r="D59" s="8"/>
      <c r="E59" s="8"/>
      <c r="F59" s="8"/>
      <c r="G59" s="8"/>
      <c r="H59" s="8"/>
      <c r="I59" s="8"/>
      <c r="J59" s="16"/>
    </row>
    <row r="60" spans="1:10" s="17" customFormat="1" ht="21.95" hidden="1" customHeight="1" x14ac:dyDescent="0.25">
      <c r="A60" s="6" t="s">
        <v>4</v>
      </c>
      <c r="B60" s="122" t="s">
        <v>5</v>
      </c>
      <c r="C60" s="122"/>
      <c r="D60" s="122"/>
      <c r="E60" s="122"/>
      <c r="F60" s="123" t="s">
        <v>3</v>
      </c>
      <c r="G60" s="124"/>
      <c r="H60" s="125">
        <v>60</v>
      </c>
      <c r="I60" s="126"/>
      <c r="J60" s="19"/>
    </row>
    <row r="61" spans="1:10" s="17" customFormat="1" ht="21.95" hidden="1" customHeight="1" x14ac:dyDescent="0.25">
      <c r="A61" s="20" t="s">
        <v>3</v>
      </c>
      <c r="B61" s="127" t="str">
        <f>PESOSMN(H60)</f>
        <v>Sesenta Pesos 00/100</v>
      </c>
      <c r="C61" s="127"/>
      <c r="D61" s="127"/>
      <c r="E61" s="127"/>
      <c r="F61" s="127"/>
      <c r="G61" s="127"/>
      <c r="H61" s="127"/>
      <c r="I61" s="7"/>
      <c r="J61" s="21"/>
    </row>
    <row r="62" spans="1:10" s="17" customFormat="1" ht="14.25" hidden="1" customHeight="1" x14ac:dyDescent="0.2">
      <c r="A62" s="15"/>
      <c r="B62" s="8"/>
      <c r="C62" s="8"/>
      <c r="D62" s="8"/>
      <c r="E62" s="8"/>
      <c r="F62" s="8"/>
      <c r="G62" s="8"/>
      <c r="H62" s="8"/>
      <c r="I62" s="8"/>
      <c r="J62" s="16"/>
    </row>
    <row r="63" spans="1:10" s="17" customFormat="1" ht="15" hidden="1" customHeight="1" x14ac:dyDescent="0.25">
      <c r="A63" s="6" t="s">
        <v>6</v>
      </c>
      <c r="B63" s="122" t="s">
        <v>7</v>
      </c>
      <c r="C63" s="122"/>
      <c r="D63" s="122"/>
      <c r="E63" s="122"/>
      <c r="F63" s="122"/>
      <c r="G63" s="122"/>
      <c r="H63" s="122"/>
      <c r="I63" s="8"/>
      <c r="J63" s="16"/>
    </row>
    <row r="64" spans="1:10" s="17" customFormat="1" ht="21.95" hidden="1" customHeight="1" x14ac:dyDescent="0.2">
      <c r="A64" s="35"/>
      <c r="B64" s="36"/>
      <c r="C64" s="37"/>
      <c r="D64" s="36"/>
      <c r="E64" s="8"/>
      <c r="F64" s="67" t="s">
        <v>9</v>
      </c>
      <c r="G64" s="10" t="s">
        <v>17</v>
      </c>
      <c r="H64" s="11" t="s">
        <v>10</v>
      </c>
      <c r="I64" s="12"/>
      <c r="J64" s="16"/>
    </row>
    <row r="65" spans="1:10" s="17" customFormat="1" ht="14.25" hidden="1" customHeight="1" x14ac:dyDescent="0.2">
      <c r="A65" s="15"/>
      <c r="B65" s="8"/>
      <c r="C65" s="8"/>
      <c r="D65" s="8"/>
      <c r="E65" s="8"/>
      <c r="F65" s="8"/>
      <c r="G65" s="10" t="s">
        <v>18</v>
      </c>
      <c r="H65" s="11" t="s">
        <v>11</v>
      </c>
      <c r="I65" s="39"/>
      <c r="J65" s="16"/>
    </row>
    <row r="66" spans="1:10" s="17" customFormat="1" ht="15" hidden="1" customHeight="1" x14ac:dyDescent="0.25">
      <c r="A66" s="6" t="s">
        <v>13</v>
      </c>
      <c r="B66" s="122"/>
      <c r="C66" s="122"/>
      <c r="D66" s="122"/>
      <c r="E66" s="8"/>
      <c r="F66" s="9" t="s">
        <v>1</v>
      </c>
      <c r="G66" s="10" t="s">
        <v>18</v>
      </c>
      <c r="H66" s="11" t="s">
        <v>12</v>
      </c>
      <c r="I66" s="12"/>
      <c r="J66" s="16"/>
    </row>
    <row r="67" spans="1:10" s="17" customFormat="1" ht="14.25" hidden="1" customHeight="1" x14ac:dyDescent="0.2">
      <c r="A67" s="15"/>
      <c r="B67" s="12" t="s">
        <v>14</v>
      </c>
      <c r="C67" s="8"/>
      <c r="D67" s="8"/>
      <c r="E67" s="8"/>
      <c r="F67" s="8"/>
      <c r="G67" s="8"/>
      <c r="H67" s="8"/>
      <c r="I67" s="8"/>
      <c r="J67" s="16"/>
    </row>
    <row r="68" spans="1:10" s="17" customFormat="1" ht="14.25" hidden="1" customHeight="1" x14ac:dyDescent="0.2">
      <c r="A68" s="15"/>
      <c r="B68" s="12" t="s">
        <v>15</v>
      </c>
      <c r="C68" s="8"/>
      <c r="D68" s="8"/>
      <c r="E68" s="8"/>
      <c r="F68" s="119"/>
      <c r="G68" s="119"/>
      <c r="H68" s="128"/>
      <c r="I68" s="128"/>
      <c r="J68" s="16"/>
    </row>
    <row r="69" spans="1:10" s="17" customFormat="1" ht="14.25" hidden="1" customHeight="1" x14ac:dyDescent="0.2">
      <c r="A69" s="40"/>
      <c r="B69" s="12" t="s">
        <v>16</v>
      </c>
      <c r="C69" s="8"/>
      <c r="D69" s="8"/>
      <c r="E69" s="8"/>
      <c r="F69" s="119"/>
      <c r="G69" s="119"/>
      <c r="H69" s="128"/>
      <c r="I69" s="128"/>
      <c r="J69" s="16"/>
    </row>
    <row r="70" spans="1:10" s="17" customFormat="1" ht="14.25" hidden="1" customHeight="1" x14ac:dyDescent="0.2">
      <c r="E70" s="8"/>
      <c r="F70" s="119"/>
      <c r="G70" s="119"/>
      <c r="H70" s="120"/>
      <c r="I70" s="120"/>
      <c r="J70" s="16"/>
    </row>
    <row r="71" spans="1:10" s="17" customFormat="1" ht="14.25" hidden="1" customHeight="1" x14ac:dyDescent="0.2">
      <c r="A71" s="26"/>
      <c r="B71" s="27"/>
      <c r="C71" s="27"/>
      <c r="D71" s="27"/>
      <c r="E71" s="27"/>
      <c r="F71" s="27"/>
      <c r="G71" s="27"/>
      <c r="H71" s="27"/>
      <c r="I71" s="27"/>
      <c r="J71" s="28"/>
    </row>
    <row r="72" spans="1:10" ht="12.75" hidden="1" customHeight="1" x14ac:dyDescent="0.2"/>
    <row r="73" spans="1:10" ht="12.75" hidden="1" customHeight="1" x14ac:dyDescent="0.2"/>
    <row r="74" spans="1:10" ht="12.75" hidden="1" customHeight="1" x14ac:dyDescent="0.2"/>
    <row r="75" spans="1:10" ht="12.75" hidden="1" customHeight="1" x14ac:dyDescent="0.2"/>
    <row r="76" spans="1:10" ht="12.75" hidden="1" customHeight="1" x14ac:dyDescent="0.2"/>
    <row r="77" spans="1:10" ht="12.75" hidden="1" customHeight="1" x14ac:dyDescent="0.2"/>
    <row r="78" spans="1:10" ht="12.75" hidden="1" customHeight="1" x14ac:dyDescent="0.2"/>
    <row r="79" spans="1:10" ht="12.75" hidden="1" customHeight="1" x14ac:dyDescent="0.2"/>
    <row r="80" spans="1:10" ht="12.75" hidden="1" customHeight="1" x14ac:dyDescent="0.2"/>
    <row r="81" ht="12.75" hidden="1" customHeight="1" x14ac:dyDescent="0.2"/>
    <row r="82" ht="12.75" hidden="1" customHeight="1" x14ac:dyDescent="0.2"/>
    <row r="83" ht="12.75" hidden="1" customHeight="1" x14ac:dyDescent="0.2"/>
    <row r="84" ht="12.75" hidden="1" customHeight="1" x14ac:dyDescent="0.2"/>
    <row r="85" ht="12.75" hidden="1" customHeight="1" x14ac:dyDescent="0.2"/>
    <row r="86" ht="12.75" hidden="1" customHeight="1" x14ac:dyDescent="0.2"/>
    <row r="87" ht="12.75" hidden="1" customHeight="1" x14ac:dyDescent="0.2"/>
    <row r="88" ht="12.75" hidden="1" customHeight="1" x14ac:dyDescent="0.2"/>
    <row r="89" ht="12.75" hidden="1" customHeight="1" x14ac:dyDescent="0.2"/>
    <row r="90" ht="12.75" hidden="1" customHeight="1" x14ac:dyDescent="0.2"/>
    <row r="91" ht="12.75" hidden="1" customHeight="1" x14ac:dyDescent="0.2"/>
    <row r="92" ht="12.75" hidden="1" customHeight="1" x14ac:dyDescent="0.2"/>
    <row r="93" ht="12.75" hidden="1" customHeight="1" x14ac:dyDescent="0.2"/>
    <row r="94" ht="12.75" hidden="1" customHeight="1" x14ac:dyDescent="0.2"/>
    <row r="95" ht="12.75" hidden="1" customHeight="1" x14ac:dyDescent="0.2"/>
    <row r="96" ht="12.75" hidden="1" customHeight="1" x14ac:dyDescent="0.2"/>
    <row r="97" ht="12.75" hidden="1" customHeight="1" x14ac:dyDescent="0.2"/>
    <row r="98" ht="12.75" hidden="1" customHeight="1" x14ac:dyDescent="0.2"/>
    <row r="99" ht="12.75" hidden="1" customHeight="1" x14ac:dyDescent="0.2"/>
    <row r="100" ht="12.75" hidden="1" customHeight="1" x14ac:dyDescent="0.2"/>
    <row r="101" ht="12.75" hidden="1" customHeight="1" x14ac:dyDescent="0.2"/>
    <row r="102" ht="12.75" hidden="1" customHeight="1" x14ac:dyDescent="0.2"/>
    <row r="103" ht="12.75" hidden="1" customHeight="1" x14ac:dyDescent="0.2"/>
    <row r="104" ht="12.75" hidden="1" customHeight="1" x14ac:dyDescent="0.2"/>
    <row r="105" ht="12.75" hidden="1" customHeight="1" x14ac:dyDescent="0.2"/>
    <row r="106" ht="12.75" hidden="1" customHeight="1" x14ac:dyDescent="0.2"/>
    <row r="107" ht="12.75" hidden="1" customHeight="1" x14ac:dyDescent="0.2"/>
    <row r="108" ht="12.75" hidden="1" customHeight="1" x14ac:dyDescent="0.2"/>
    <row r="109" ht="12.75" hidden="1" customHeight="1" x14ac:dyDescent="0.2"/>
    <row r="110" ht="12.75" hidden="1" customHeight="1" x14ac:dyDescent="0.2"/>
    <row r="111" ht="12.75" hidden="1" customHeight="1" x14ac:dyDescent="0.2"/>
    <row r="112" ht="12.75" hidden="1" customHeight="1" x14ac:dyDescent="0.2"/>
    <row r="113" ht="12.75" hidden="1" customHeight="1" x14ac:dyDescent="0.2"/>
    <row r="114" ht="12.75" hidden="1" customHeight="1" x14ac:dyDescent="0.2"/>
    <row r="115" ht="12.75" hidden="1" customHeight="1" x14ac:dyDescent="0.2"/>
    <row r="116" ht="12.75" hidden="1" customHeight="1" x14ac:dyDescent="0.2"/>
    <row r="117" ht="12.75" hidden="1" customHeight="1" x14ac:dyDescent="0.2"/>
    <row r="118" ht="12.75" hidden="1" customHeight="1" x14ac:dyDescent="0.2"/>
    <row r="119" ht="12.75" hidden="1" customHeight="1" x14ac:dyDescent="0.2"/>
    <row r="120" ht="12.75" hidden="1" customHeight="1" x14ac:dyDescent="0.2"/>
    <row r="121" ht="12.75" hidden="1" customHeight="1" x14ac:dyDescent="0.2"/>
    <row r="122" ht="12.75" hidden="1" customHeight="1" x14ac:dyDescent="0.2"/>
    <row r="123" ht="12.75" hidden="1" customHeight="1" x14ac:dyDescent="0.2"/>
    <row r="124" ht="12.75" hidden="1" customHeight="1" x14ac:dyDescent="0.2"/>
    <row r="125" ht="12.75" hidden="1" customHeight="1" x14ac:dyDescent="0.2"/>
    <row r="126" ht="12.75" hidden="1" customHeight="1" x14ac:dyDescent="0.2"/>
    <row r="127" ht="12.75" hidden="1" customHeight="1" x14ac:dyDescent="0.2"/>
    <row r="128" ht="12.75" hidden="1" customHeight="1" x14ac:dyDescent="0.2"/>
    <row r="129" ht="12.75" hidden="1" customHeight="1" x14ac:dyDescent="0.2"/>
    <row r="130" ht="12.75" hidden="1" customHeight="1" x14ac:dyDescent="0.2"/>
    <row r="131" ht="12.75" hidden="1" customHeight="1" x14ac:dyDescent="0.2"/>
    <row r="132" ht="12.75" hidden="1" customHeight="1" x14ac:dyDescent="0.2"/>
    <row r="133" ht="12.75" hidden="1" customHeight="1" x14ac:dyDescent="0.2"/>
    <row r="134" ht="12.75" hidden="1" customHeight="1" x14ac:dyDescent="0.2"/>
    <row r="135" ht="12.75" hidden="1" customHeight="1" x14ac:dyDescent="0.2"/>
    <row r="136" ht="12.75" hidden="1" customHeight="1" x14ac:dyDescent="0.2"/>
    <row r="137" ht="12.75" hidden="1" customHeight="1" x14ac:dyDescent="0.2"/>
    <row r="138" ht="12.75" hidden="1" customHeight="1" x14ac:dyDescent="0.2"/>
    <row r="139" ht="12.75" hidden="1" customHeight="1" x14ac:dyDescent="0.2"/>
    <row r="140" ht="12.75" hidden="1" customHeight="1" x14ac:dyDescent="0.2"/>
    <row r="141" ht="12.75" hidden="1" customHeight="1" x14ac:dyDescent="0.2"/>
    <row r="142" ht="12.75" hidden="1" customHeight="1" x14ac:dyDescent="0.2"/>
    <row r="143" ht="12.75" hidden="1" customHeight="1" x14ac:dyDescent="0.2"/>
    <row r="144" ht="12.75" hidden="1" customHeight="1" x14ac:dyDescent="0.2"/>
    <row r="145" ht="12.75" hidden="1" customHeight="1" x14ac:dyDescent="0.2"/>
    <row r="146" ht="12.75" hidden="1" customHeight="1" x14ac:dyDescent="0.2"/>
    <row r="147" ht="12.75" hidden="1" customHeight="1" x14ac:dyDescent="0.2"/>
    <row r="148" ht="12.75" hidden="1" customHeight="1" x14ac:dyDescent="0.2"/>
    <row r="149" ht="12.75" hidden="1" customHeight="1" x14ac:dyDescent="0.2"/>
    <row r="150" ht="12.75" hidden="1" customHeight="1" x14ac:dyDescent="0.2"/>
    <row r="151" ht="12.75" hidden="1" customHeight="1" x14ac:dyDescent="0.2"/>
    <row r="152" ht="12.75" hidden="1" customHeight="1" x14ac:dyDescent="0.2"/>
    <row r="153" ht="12.75" hidden="1" customHeight="1" x14ac:dyDescent="0.2"/>
    <row r="154" ht="12.75" hidden="1" customHeight="1" x14ac:dyDescent="0.2"/>
    <row r="155" ht="12.75" hidden="1" customHeight="1" x14ac:dyDescent="0.2"/>
    <row r="156" ht="12.75" hidden="1" customHeight="1" x14ac:dyDescent="0.2"/>
    <row r="157" ht="12.75" hidden="1" customHeight="1" x14ac:dyDescent="0.2"/>
    <row r="158" ht="12.75" hidden="1" customHeight="1" x14ac:dyDescent="0.2"/>
    <row r="159" ht="12.75" hidden="1" customHeight="1" x14ac:dyDescent="0.2"/>
    <row r="160" ht="12.75" hidden="1" customHeight="1" x14ac:dyDescent="0.2"/>
    <row r="161" ht="12.75" hidden="1" customHeight="1" x14ac:dyDescent="0.2"/>
    <row r="162" ht="12.75" hidden="1" customHeight="1" x14ac:dyDescent="0.2"/>
    <row r="163" ht="12.75" hidden="1" customHeight="1" x14ac:dyDescent="0.2"/>
    <row r="164" ht="12.75" hidden="1" customHeight="1" x14ac:dyDescent="0.2"/>
    <row r="165" ht="12.75" hidden="1" customHeight="1" x14ac:dyDescent="0.2"/>
    <row r="166" ht="12.75" hidden="1" customHeight="1" x14ac:dyDescent="0.2"/>
    <row r="167" ht="12.75" hidden="1" customHeight="1" x14ac:dyDescent="0.2"/>
    <row r="168" ht="12.75" hidden="1" customHeight="1" x14ac:dyDescent="0.2"/>
    <row r="169" ht="12.75" hidden="1" customHeight="1" x14ac:dyDescent="0.2"/>
    <row r="170" ht="12.75" hidden="1" customHeight="1" x14ac:dyDescent="0.2"/>
    <row r="171" ht="12.75" hidden="1" customHeight="1" x14ac:dyDescent="0.2"/>
    <row r="172" ht="12.75" hidden="1" customHeight="1" x14ac:dyDescent="0.2"/>
    <row r="173" ht="12.75" hidden="1" customHeight="1" x14ac:dyDescent="0.2"/>
    <row r="174" ht="12.75" hidden="1" customHeight="1" x14ac:dyDescent="0.2"/>
    <row r="175" ht="12.75" hidden="1" customHeight="1" x14ac:dyDescent="0.2"/>
    <row r="176" ht="12.75" hidden="1" customHeight="1" x14ac:dyDescent="0.2"/>
    <row r="177" ht="12.75" hidden="1" customHeight="1" x14ac:dyDescent="0.2"/>
    <row r="178" ht="12.75" hidden="1" customHeight="1" x14ac:dyDescent="0.2"/>
    <row r="179" ht="12.75" hidden="1" customHeight="1" x14ac:dyDescent="0.2"/>
    <row r="180" ht="12.75" hidden="1" customHeight="1" x14ac:dyDescent="0.2"/>
    <row r="181" ht="12.75" hidden="1" customHeight="1" x14ac:dyDescent="0.2"/>
    <row r="182" ht="12.75" hidden="1" customHeight="1" x14ac:dyDescent="0.2"/>
    <row r="183" ht="12.75" hidden="1" customHeight="1" x14ac:dyDescent="0.2"/>
    <row r="184" ht="12.75" hidden="1" customHeight="1" x14ac:dyDescent="0.2"/>
    <row r="185" ht="12.75" hidden="1" customHeight="1" x14ac:dyDescent="0.2"/>
    <row r="186" ht="12.75" hidden="1" customHeight="1" x14ac:dyDescent="0.2"/>
    <row r="187" ht="12.75" hidden="1" customHeight="1" x14ac:dyDescent="0.2"/>
    <row r="188" ht="12.75" hidden="1" customHeight="1" x14ac:dyDescent="0.2"/>
    <row r="189" ht="12.75" hidden="1" customHeight="1" x14ac:dyDescent="0.2"/>
    <row r="190" ht="12.75" hidden="1" customHeight="1" x14ac:dyDescent="0.2"/>
    <row r="191" ht="12.75" hidden="1" customHeight="1" x14ac:dyDescent="0.2"/>
    <row r="192" ht="12.75" hidden="1" customHeight="1" x14ac:dyDescent="0.2"/>
    <row r="193" ht="12.75" hidden="1" customHeight="1" x14ac:dyDescent="0.2"/>
    <row r="194" ht="12.75" hidden="1" customHeight="1" x14ac:dyDescent="0.2"/>
    <row r="195" ht="12.75" hidden="1" customHeight="1" x14ac:dyDescent="0.2"/>
    <row r="196" ht="12.75" hidden="1" customHeight="1" x14ac:dyDescent="0.2"/>
    <row r="197" ht="12.75" hidden="1" customHeight="1" x14ac:dyDescent="0.2"/>
    <row r="198" ht="12.75" hidden="1" customHeight="1" x14ac:dyDescent="0.2"/>
    <row r="199" ht="12.75" hidden="1" customHeight="1" x14ac:dyDescent="0.2"/>
    <row r="200" ht="12.75" hidden="1" customHeight="1" x14ac:dyDescent="0.2"/>
    <row r="201" ht="12.75" hidden="1" customHeight="1" x14ac:dyDescent="0.2"/>
    <row r="202" ht="12.75" hidden="1" customHeight="1" x14ac:dyDescent="0.2"/>
    <row r="203" ht="12.75" hidden="1" customHeight="1" x14ac:dyDescent="0.2"/>
    <row r="204" ht="12.75" hidden="1" customHeight="1" x14ac:dyDescent="0.2"/>
    <row r="205" ht="12.75" hidden="1" customHeight="1" x14ac:dyDescent="0.2"/>
    <row r="206" ht="12.75" hidden="1" customHeight="1" x14ac:dyDescent="0.2"/>
    <row r="207" ht="12.75" hidden="1" customHeight="1" x14ac:dyDescent="0.2"/>
    <row r="208" ht="12.75" hidden="1" customHeight="1" x14ac:dyDescent="0.2"/>
    <row r="209" spans="1:10" ht="12.75" hidden="1" customHeight="1" x14ac:dyDescent="0.2"/>
    <row r="210" spans="1:10" ht="12.75" hidden="1" customHeight="1" x14ac:dyDescent="0.2"/>
    <row r="211" spans="1:10" ht="12.75" hidden="1" customHeight="1" x14ac:dyDescent="0.2"/>
    <row r="212" spans="1:10" ht="12.75" hidden="1" customHeight="1" x14ac:dyDescent="0.2"/>
    <row r="213" spans="1:10" ht="12.75" hidden="1" customHeight="1" x14ac:dyDescent="0.2"/>
    <row r="214" spans="1:10" ht="12.75" hidden="1" customHeight="1" x14ac:dyDescent="0.2"/>
    <row r="215" spans="1:10" x14ac:dyDescent="0.2">
      <c r="A215" s="41"/>
      <c r="B215" s="58"/>
      <c r="C215" s="58"/>
      <c r="D215" s="58"/>
      <c r="E215" s="41"/>
      <c r="F215" s="41"/>
      <c r="G215" s="58"/>
      <c r="H215" s="58"/>
      <c r="I215" s="58"/>
      <c r="J215" s="41"/>
    </row>
    <row r="216" spans="1:10" x14ac:dyDescent="0.2">
      <c r="A216" s="41"/>
      <c r="B216" s="59"/>
      <c r="C216" s="41"/>
      <c r="D216" s="41"/>
      <c r="E216" s="41"/>
      <c r="F216" s="41"/>
      <c r="G216" s="60"/>
      <c r="H216" s="58"/>
      <c r="I216" s="58"/>
      <c r="J216" s="41"/>
    </row>
    <row r="217" spans="1:10" ht="15" x14ac:dyDescent="0.2">
      <c r="A217" s="41"/>
      <c r="B217" s="61"/>
      <c r="C217" s="41"/>
      <c r="D217" s="57" t="s">
        <v>31</v>
      </c>
      <c r="E217" s="57"/>
      <c r="F217" s="57"/>
      <c r="G217" s="57"/>
      <c r="H217" s="57"/>
      <c r="I217" s="57"/>
      <c r="J217" s="57"/>
    </row>
    <row r="218" spans="1:10" ht="17.25" customHeight="1" x14ac:dyDescent="0.2">
      <c r="A218" s="148" t="s">
        <v>32</v>
      </c>
      <c r="B218" s="149"/>
      <c r="C218" s="149"/>
      <c r="D218" s="149"/>
      <c r="E218" s="149"/>
      <c r="F218" s="149"/>
      <c r="G218" s="149"/>
      <c r="H218" s="149"/>
      <c r="I218" s="149"/>
      <c r="J218" s="149"/>
    </row>
    <row r="219" spans="1:10" ht="15" x14ac:dyDescent="0.2">
      <c r="A219" s="150" t="s">
        <v>33</v>
      </c>
      <c r="B219" s="150"/>
      <c r="C219" s="150"/>
      <c r="D219" s="150"/>
      <c r="E219" s="150"/>
      <c r="F219" s="150"/>
      <c r="G219" s="150"/>
      <c r="H219" s="150"/>
      <c r="I219" s="150"/>
      <c r="J219" s="150"/>
    </row>
  </sheetData>
  <mergeCells count="68">
    <mergeCell ref="F70:G70"/>
    <mergeCell ref="H70:I70"/>
    <mergeCell ref="A218:J218"/>
    <mergeCell ref="A219:J219"/>
    <mergeCell ref="G9:J9"/>
    <mergeCell ref="B61:H61"/>
    <mergeCell ref="B63:H63"/>
    <mergeCell ref="B66:D66"/>
    <mergeCell ref="F68:G68"/>
    <mergeCell ref="H68:I68"/>
    <mergeCell ref="F69:G69"/>
    <mergeCell ref="H69:I69"/>
    <mergeCell ref="F54:G54"/>
    <mergeCell ref="H54:I54"/>
    <mergeCell ref="F58:G58"/>
    <mergeCell ref="B60:E60"/>
    <mergeCell ref="F60:G60"/>
    <mergeCell ref="H60:I60"/>
    <mergeCell ref="B45:H45"/>
    <mergeCell ref="B47:H47"/>
    <mergeCell ref="B50:D50"/>
    <mergeCell ref="F52:G52"/>
    <mergeCell ref="H52:I52"/>
    <mergeCell ref="F53:G53"/>
    <mergeCell ref="H53:I53"/>
    <mergeCell ref="B44:E44"/>
    <mergeCell ref="F44:G44"/>
    <mergeCell ref="H44:I44"/>
    <mergeCell ref="A28:J28"/>
    <mergeCell ref="B29:C29"/>
    <mergeCell ref="E29:F29"/>
    <mergeCell ref="G29:H29"/>
    <mergeCell ref="A30:I30"/>
    <mergeCell ref="F31:G31"/>
    <mergeCell ref="H31:I31"/>
    <mergeCell ref="A32:J32"/>
    <mergeCell ref="A35:J35"/>
    <mergeCell ref="A36:J36"/>
    <mergeCell ref="A37:J37"/>
    <mergeCell ref="F42:G42"/>
    <mergeCell ref="A23:E23"/>
    <mergeCell ref="H23:I23"/>
    <mergeCell ref="A24:E24"/>
    <mergeCell ref="H24:I24"/>
    <mergeCell ref="A27:E27"/>
    <mergeCell ref="H27:I27"/>
    <mergeCell ref="A25:G25"/>
    <mergeCell ref="H25:I25"/>
    <mergeCell ref="A26:G26"/>
    <mergeCell ref="H26:I26"/>
    <mergeCell ref="A22:E22"/>
    <mergeCell ref="H22:I22"/>
    <mergeCell ref="B10:I10"/>
    <mergeCell ref="B12:E12"/>
    <mergeCell ref="F12:G12"/>
    <mergeCell ref="H12:I12"/>
    <mergeCell ref="B13:C13"/>
    <mergeCell ref="B14:I14"/>
    <mergeCell ref="B16:I18"/>
    <mergeCell ref="A20:F20"/>
    <mergeCell ref="H20:I20"/>
    <mergeCell ref="A21:E21"/>
    <mergeCell ref="H21:I21"/>
    <mergeCell ref="A3:J3"/>
    <mergeCell ref="A4:J4"/>
    <mergeCell ref="A5:J5"/>
    <mergeCell ref="A6:J6"/>
    <mergeCell ref="A7:J7"/>
  </mergeCells>
  <hyperlinks>
    <hyperlink ref="A218" r:id="rId1" display="mailto:asociacionindigenalewashii@gmail.com"/>
  </hyperlinks>
  <pageMargins left="0.70866141732283472" right="0.70866141732283472" top="0.74803149606299213" bottom="0.74803149606299213" header="0.31496062992125984" footer="0.31496062992125984"/>
  <pageSetup scale="88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19"/>
  <sheetViews>
    <sheetView showGridLines="0" view="pageBreakPreview" topLeftCell="A10" zoomScaleNormal="100" zoomScaleSheetLayoutView="100" workbookViewId="0">
      <selection activeCell="B10" sqref="B10:I10"/>
    </sheetView>
  </sheetViews>
  <sheetFormatPr baseColWidth="10" defaultColWidth="9.140625" defaultRowHeight="12.75" x14ac:dyDescent="0.2"/>
  <cols>
    <col min="1" max="1" width="17.28515625" style="14" customWidth="1"/>
    <col min="2" max="2" width="14" style="14" customWidth="1"/>
    <col min="3" max="3" width="10.42578125" style="14" customWidth="1"/>
    <col min="4" max="4" width="8.7109375" style="14" customWidth="1"/>
    <col min="5" max="5" width="13.28515625" style="14" customWidth="1"/>
    <col min="6" max="6" width="12.5703125" style="14" customWidth="1"/>
    <col min="7" max="7" width="3.28515625" style="14" bestFit="1" customWidth="1"/>
    <col min="8" max="8" width="7.85546875" style="14" customWidth="1"/>
    <col min="9" max="9" width="14.140625" style="14" customWidth="1"/>
    <col min="10" max="10" width="3.140625" style="14" customWidth="1"/>
    <col min="11" max="11" width="5.5703125" style="14" customWidth="1"/>
    <col min="12" max="12" width="15.7109375" style="14" customWidth="1"/>
    <col min="13" max="16384" width="9.140625" style="14"/>
  </cols>
  <sheetData>
    <row r="1" spans="1:12" x14ac:dyDescent="0.2">
      <c r="A1" s="41"/>
      <c r="B1" s="42"/>
      <c r="C1" s="42"/>
      <c r="D1" s="42"/>
      <c r="E1" s="42"/>
      <c r="F1" s="42"/>
      <c r="G1" s="42"/>
      <c r="H1" s="42"/>
      <c r="I1" s="42"/>
    </row>
    <row r="2" spans="1:12" x14ac:dyDescent="0.2">
      <c r="A2" s="41"/>
      <c r="B2" s="41"/>
      <c r="C2" s="41"/>
      <c r="D2" s="41"/>
      <c r="E2" s="41"/>
      <c r="F2" s="41"/>
      <c r="G2" s="41"/>
      <c r="H2" s="41"/>
      <c r="I2" s="41"/>
    </row>
    <row r="3" spans="1:12" ht="15.75" x14ac:dyDescent="0.2">
      <c r="A3" s="131" t="s">
        <v>26</v>
      </c>
      <c r="B3" s="131"/>
      <c r="C3" s="131"/>
      <c r="D3" s="131"/>
      <c r="E3" s="131"/>
      <c r="F3" s="131"/>
      <c r="G3" s="131"/>
      <c r="H3" s="131"/>
      <c r="I3" s="131"/>
      <c r="J3" s="131"/>
    </row>
    <row r="4" spans="1:12" ht="18.75" x14ac:dyDescent="0.2">
      <c r="A4" s="130" t="s">
        <v>27</v>
      </c>
      <c r="B4" s="130"/>
      <c r="C4" s="130"/>
      <c r="D4" s="130"/>
      <c r="E4" s="130"/>
      <c r="F4" s="130"/>
      <c r="G4" s="130"/>
      <c r="H4" s="130"/>
      <c r="I4" s="130"/>
      <c r="J4" s="130"/>
    </row>
    <row r="5" spans="1:12" ht="15" x14ac:dyDescent="0.2">
      <c r="A5" s="129" t="s">
        <v>28</v>
      </c>
      <c r="B5" s="129"/>
      <c r="C5" s="129"/>
      <c r="D5" s="129"/>
      <c r="E5" s="129"/>
      <c r="F5" s="129"/>
      <c r="G5" s="129"/>
      <c r="H5" s="129"/>
      <c r="I5" s="129"/>
      <c r="J5" s="129"/>
    </row>
    <row r="6" spans="1:12" ht="15.75" x14ac:dyDescent="0.2">
      <c r="A6" s="131" t="s">
        <v>29</v>
      </c>
      <c r="B6" s="131"/>
      <c r="C6" s="131"/>
      <c r="D6" s="131"/>
      <c r="E6" s="131"/>
      <c r="F6" s="131"/>
      <c r="G6" s="131"/>
      <c r="H6" s="131"/>
      <c r="I6" s="131"/>
      <c r="J6" s="131"/>
    </row>
    <row r="7" spans="1:12" ht="18.75" x14ac:dyDescent="0.3">
      <c r="A7" s="151" t="s">
        <v>30</v>
      </c>
      <c r="B7" s="151"/>
      <c r="C7" s="151"/>
      <c r="D7" s="151"/>
      <c r="E7" s="151"/>
      <c r="F7" s="151"/>
      <c r="G7" s="151"/>
      <c r="H7" s="151"/>
      <c r="I7" s="151"/>
      <c r="J7" s="151"/>
    </row>
    <row r="8" spans="1:12" ht="8.25" customHeight="1" thickBot="1" x14ac:dyDescent="0.25"/>
    <row r="9" spans="1:12" ht="30.75" thickTop="1" x14ac:dyDescent="0.4">
      <c r="A9" s="74" t="s">
        <v>57</v>
      </c>
      <c r="B9" s="75"/>
      <c r="C9" s="75"/>
      <c r="D9" s="75"/>
      <c r="E9" s="75"/>
      <c r="F9" s="75"/>
      <c r="G9" s="146" t="s">
        <v>96</v>
      </c>
      <c r="H9" s="146"/>
      <c r="I9" s="146"/>
      <c r="J9" s="147"/>
    </row>
    <row r="10" spans="1:12" ht="23.25" x14ac:dyDescent="0.35">
      <c r="A10" s="43" t="s">
        <v>20</v>
      </c>
      <c r="B10" s="153" t="str">
        <f>+AMBIENTAL!B10:I10</f>
        <v>16 de Agosto de 2023</v>
      </c>
      <c r="C10" s="153"/>
      <c r="D10" s="153"/>
      <c r="E10" s="153"/>
      <c r="F10" s="153"/>
      <c r="G10" s="153"/>
      <c r="H10" s="153"/>
      <c r="I10" s="153"/>
      <c r="J10" s="44"/>
    </row>
    <row r="11" spans="1:12" s="17" customFormat="1" ht="14.25" x14ac:dyDescent="0.2">
      <c r="A11" s="45"/>
      <c r="B11" s="8"/>
      <c r="C11" s="8"/>
      <c r="D11" s="8"/>
      <c r="E11" s="8"/>
      <c r="F11" s="8"/>
      <c r="G11" s="8"/>
      <c r="H11" s="8"/>
      <c r="I11" s="8"/>
      <c r="J11" s="46"/>
      <c r="L11" s="18"/>
    </row>
    <row r="12" spans="1:12" s="17" customFormat="1" ht="21.95" customHeight="1" x14ac:dyDescent="0.25">
      <c r="A12" s="47" t="s">
        <v>19</v>
      </c>
      <c r="B12" s="122" t="s">
        <v>51</v>
      </c>
      <c r="C12" s="122"/>
      <c r="D12" s="122"/>
      <c r="E12" s="122"/>
      <c r="F12" s="123" t="s">
        <v>3</v>
      </c>
      <c r="G12" s="124"/>
      <c r="H12" s="167">
        <f>+H27</f>
        <v>6125000</v>
      </c>
      <c r="I12" s="168"/>
      <c r="J12" s="48"/>
      <c r="L12" s="72"/>
    </row>
    <row r="13" spans="1:12" s="17" customFormat="1" ht="21.95" customHeight="1" x14ac:dyDescent="0.25">
      <c r="A13" s="47" t="s">
        <v>35</v>
      </c>
      <c r="B13" s="152">
        <v>49733846</v>
      </c>
      <c r="C13" s="152"/>
      <c r="D13" s="66" t="s">
        <v>38</v>
      </c>
      <c r="E13" s="66"/>
      <c r="F13" s="73" t="s">
        <v>52</v>
      </c>
      <c r="G13" s="2"/>
      <c r="H13" s="3"/>
      <c r="I13" s="3"/>
      <c r="J13" s="48"/>
      <c r="L13" s="73" t="s">
        <v>46</v>
      </c>
    </row>
    <row r="14" spans="1:12" s="17" customFormat="1" ht="21.95" customHeight="1" x14ac:dyDescent="0.25">
      <c r="A14" s="49" t="s">
        <v>3</v>
      </c>
      <c r="B14" s="115" t="str">
        <f>PESOSMN(H12)</f>
        <v>Seis Millones Ciento Veinticinco Mil Pesos 00/100</v>
      </c>
      <c r="C14" s="115"/>
      <c r="D14" s="115"/>
      <c r="E14" s="115"/>
      <c r="F14" s="115"/>
      <c r="G14" s="115"/>
      <c r="H14" s="115"/>
      <c r="I14" s="115"/>
      <c r="J14" s="50"/>
    </row>
    <row r="15" spans="1:12" s="17" customFormat="1" ht="15" thickBot="1" x14ac:dyDescent="0.25">
      <c r="A15" s="45"/>
      <c r="B15" s="8"/>
      <c r="C15" s="8"/>
      <c r="D15" s="8"/>
      <c r="E15" s="8"/>
      <c r="F15" s="8"/>
      <c r="G15" s="8"/>
      <c r="H15" s="8"/>
      <c r="I15" s="8"/>
      <c r="J15" s="46"/>
    </row>
    <row r="16" spans="1:12" s="17" customFormat="1" ht="16.5" customHeight="1" thickTop="1" x14ac:dyDescent="0.25">
      <c r="A16" s="47" t="s">
        <v>6</v>
      </c>
      <c r="B16" s="156" t="s">
        <v>85</v>
      </c>
      <c r="C16" s="157"/>
      <c r="D16" s="157"/>
      <c r="E16" s="157"/>
      <c r="F16" s="157"/>
      <c r="G16" s="157"/>
      <c r="H16" s="157"/>
      <c r="I16" s="158"/>
      <c r="J16" s="46"/>
    </row>
    <row r="17" spans="1:10" s="17" customFormat="1" ht="15" x14ac:dyDescent="0.25">
      <c r="A17" s="51"/>
      <c r="B17" s="159"/>
      <c r="C17" s="160"/>
      <c r="D17" s="160"/>
      <c r="E17" s="160"/>
      <c r="F17" s="160"/>
      <c r="G17" s="160"/>
      <c r="H17" s="160"/>
      <c r="I17" s="161"/>
      <c r="J17" s="46"/>
    </row>
    <row r="18" spans="1:10" s="17" customFormat="1" ht="15.75" thickBot="1" x14ac:dyDescent="0.3">
      <c r="A18" s="51"/>
      <c r="B18" s="162"/>
      <c r="C18" s="163"/>
      <c r="D18" s="163"/>
      <c r="E18" s="163"/>
      <c r="F18" s="163"/>
      <c r="G18" s="163"/>
      <c r="H18" s="163"/>
      <c r="I18" s="164"/>
      <c r="J18" s="46"/>
    </row>
    <row r="19" spans="1:10" s="17" customFormat="1" ht="15.75" thickTop="1" x14ac:dyDescent="0.25">
      <c r="A19" s="51"/>
      <c r="B19" s="63"/>
      <c r="C19" s="63"/>
      <c r="D19" s="63"/>
      <c r="E19" s="63"/>
      <c r="F19" s="63"/>
      <c r="G19" s="63"/>
      <c r="H19" s="63"/>
      <c r="I19" s="63"/>
      <c r="J19" s="46"/>
    </row>
    <row r="20" spans="1:10" s="17" customFormat="1" ht="18" x14ac:dyDescent="0.25">
      <c r="A20" s="105" t="s">
        <v>42</v>
      </c>
      <c r="B20" s="106"/>
      <c r="C20" s="106"/>
      <c r="D20" s="106"/>
      <c r="E20" s="106"/>
      <c r="F20" s="106"/>
      <c r="G20" s="63"/>
      <c r="H20" s="167">
        <f>+ROUND(H22/(1+F21),0)</f>
        <v>6125000</v>
      </c>
      <c r="I20" s="168"/>
      <c r="J20" s="46"/>
    </row>
    <row r="21" spans="1:10" s="17" customFormat="1" ht="18" x14ac:dyDescent="0.25">
      <c r="A21" s="105" t="s">
        <v>37</v>
      </c>
      <c r="B21" s="106"/>
      <c r="C21" s="106"/>
      <c r="D21" s="106"/>
      <c r="E21" s="106"/>
      <c r="F21" s="5">
        <v>0</v>
      </c>
      <c r="G21" s="22"/>
      <c r="H21" s="137">
        <f>+ROUND(F21*H20,0)</f>
        <v>0</v>
      </c>
      <c r="I21" s="138"/>
      <c r="J21" s="46"/>
    </row>
    <row r="22" spans="1:10" s="17" customFormat="1" ht="18" x14ac:dyDescent="0.25">
      <c r="A22" s="105" t="s">
        <v>72</v>
      </c>
      <c r="B22" s="106"/>
      <c r="C22" s="106"/>
      <c r="D22" s="106"/>
      <c r="E22" s="106"/>
      <c r="F22" s="63"/>
      <c r="G22" s="63"/>
      <c r="H22" s="107">
        <v>6125000</v>
      </c>
      <c r="I22" s="108"/>
      <c r="J22" s="46"/>
    </row>
    <row r="23" spans="1:10" s="17" customFormat="1" ht="18" x14ac:dyDescent="0.25">
      <c r="A23" s="105" t="s">
        <v>43</v>
      </c>
      <c r="B23" s="106"/>
      <c r="C23" s="106"/>
      <c r="D23" s="106"/>
      <c r="E23" s="106"/>
      <c r="F23" s="5">
        <v>0.1</v>
      </c>
      <c r="G23" s="63"/>
      <c r="H23" s="137">
        <f>+ROUND(F23*H20,0)</f>
        <v>612500</v>
      </c>
      <c r="I23" s="138"/>
      <c r="J23" s="46"/>
    </row>
    <row r="24" spans="1:10" s="17" customFormat="1" ht="18" x14ac:dyDescent="0.25">
      <c r="A24" s="105" t="s">
        <v>36</v>
      </c>
      <c r="B24" s="106"/>
      <c r="C24" s="106"/>
      <c r="D24" s="106"/>
      <c r="E24" s="106"/>
      <c r="F24" s="5"/>
      <c r="G24" s="63"/>
      <c r="H24" s="107"/>
      <c r="I24" s="108"/>
      <c r="J24" s="46"/>
    </row>
    <row r="25" spans="1:10" s="17" customFormat="1" ht="18" x14ac:dyDescent="0.25">
      <c r="A25" s="105" t="s">
        <v>69</v>
      </c>
      <c r="B25" s="106"/>
      <c r="C25" s="106"/>
      <c r="D25" s="106"/>
      <c r="E25" s="106"/>
      <c r="F25" s="106"/>
      <c r="G25" s="112"/>
      <c r="H25" s="113">
        <f>+'RESUMEN de PAGOS'!L7</f>
        <v>0</v>
      </c>
      <c r="I25" s="114"/>
      <c r="J25" s="46"/>
    </row>
    <row r="26" spans="1:10" s="17" customFormat="1" ht="18" x14ac:dyDescent="0.25">
      <c r="A26" s="105" t="s">
        <v>70</v>
      </c>
      <c r="B26" s="106"/>
      <c r="C26" s="106"/>
      <c r="D26" s="106"/>
      <c r="E26" s="106"/>
      <c r="F26" s="106"/>
      <c r="G26" s="112"/>
      <c r="H26" s="113">
        <f>+H23</f>
        <v>612500</v>
      </c>
      <c r="I26" s="114"/>
      <c r="J26" s="46"/>
    </row>
    <row r="27" spans="1:10" s="17" customFormat="1" ht="18" x14ac:dyDescent="0.25">
      <c r="A27" s="105" t="s">
        <v>71</v>
      </c>
      <c r="B27" s="106"/>
      <c r="C27" s="106"/>
      <c r="D27" s="106"/>
      <c r="E27" s="106"/>
      <c r="F27" s="7"/>
      <c r="G27" s="7"/>
      <c r="H27" s="165">
        <f>+H22-H23-H24+H25+H26</f>
        <v>6125000</v>
      </c>
      <c r="I27" s="166"/>
      <c r="J27" s="46"/>
    </row>
    <row r="28" spans="1:10" s="17" customFormat="1" ht="21.95" customHeight="1" x14ac:dyDescent="0.2">
      <c r="A28" s="141" t="s">
        <v>21</v>
      </c>
      <c r="B28" s="142"/>
      <c r="C28" s="142"/>
      <c r="D28" s="142"/>
      <c r="E28" s="142"/>
      <c r="F28" s="142"/>
      <c r="G28" s="142"/>
      <c r="H28" s="142"/>
      <c r="I28" s="142"/>
      <c r="J28" s="143"/>
    </row>
    <row r="29" spans="1:10" s="17" customFormat="1" ht="24.75" customHeight="1" x14ac:dyDescent="0.2">
      <c r="A29" s="65" t="s">
        <v>41</v>
      </c>
      <c r="B29" s="169"/>
      <c r="C29" s="169"/>
      <c r="D29" s="64" t="s">
        <v>39</v>
      </c>
      <c r="E29" s="111"/>
      <c r="F29" s="111"/>
      <c r="G29" s="110" t="s">
        <v>40</v>
      </c>
      <c r="H29" s="110"/>
      <c r="I29" s="3"/>
      <c r="J29" s="46"/>
    </row>
    <row r="30" spans="1:10" s="17" customFormat="1" ht="36.75" customHeight="1" x14ac:dyDescent="0.2">
      <c r="A30" s="132" t="s">
        <v>22</v>
      </c>
      <c r="B30" s="133"/>
      <c r="C30" s="133"/>
      <c r="D30" s="133"/>
      <c r="E30" s="133"/>
      <c r="F30" s="133"/>
      <c r="G30" s="133"/>
      <c r="H30" s="133"/>
      <c r="I30" s="133"/>
      <c r="J30" s="46"/>
    </row>
    <row r="31" spans="1:10" s="17" customFormat="1" ht="14.25" x14ac:dyDescent="0.2">
      <c r="A31" s="45"/>
      <c r="B31" s="12"/>
      <c r="C31" s="8"/>
      <c r="D31" s="8"/>
      <c r="E31" s="8"/>
      <c r="F31" s="119"/>
      <c r="G31" s="119"/>
      <c r="H31" s="128"/>
      <c r="I31" s="128"/>
      <c r="J31" s="46"/>
    </row>
    <row r="32" spans="1:10" s="17" customFormat="1" ht="24.75" x14ac:dyDescent="0.5">
      <c r="A32" s="134" t="s">
        <v>34</v>
      </c>
      <c r="B32" s="135"/>
      <c r="C32" s="135"/>
      <c r="D32" s="135"/>
      <c r="E32" s="135"/>
      <c r="F32" s="135"/>
      <c r="G32" s="135"/>
      <c r="H32" s="135"/>
      <c r="I32" s="135"/>
      <c r="J32" s="136"/>
    </row>
    <row r="33" spans="1:14" s="17" customFormat="1" ht="15.75" customHeight="1" x14ac:dyDescent="0.5">
      <c r="A33" s="68"/>
      <c r="B33" s="69"/>
      <c r="C33" s="69"/>
      <c r="D33" s="69"/>
      <c r="E33" s="69"/>
      <c r="F33" s="69"/>
      <c r="G33" s="69"/>
      <c r="H33" s="69"/>
      <c r="I33" s="69"/>
      <c r="J33" s="70"/>
      <c r="N33" s="24"/>
    </row>
    <row r="34" spans="1:14" s="17" customFormat="1" ht="15.75" customHeight="1" x14ac:dyDescent="0.5">
      <c r="A34" s="68"/>
      <c r="B34" s="69"/>
      <c r="C34" s="25"/>
      <c r="D34" s="25"/>
      <c r="E34" s="25"/>
      <c r="F34" s="25"/>
      <c r="G34" s="69"/>
      <c r="H34" s="69"/>
      <c r="I34" s="69"/>
      <c r="J34" s="70"/>
    </row>
    <row r="35" spans="1:14" s="17" customFormat="1" ht="18" customHeight="1" x14ac:dyDescent="0.25">
      <c r="A35" s="116" t="s">
        <v>23</v>
      </c>
      <c r="B35" s="117"/>
      <c r="C35" s="117"/>
      <c r="D35" s="117"/>
      <c r="E35" s="117"/>
      <c r="F35" s="117"/>
      <c r="G35" s="117"/>
      <c r="H35" s="117"/>
      <c r="I35" s="117"/>
      <c r="J35" s="118"/>
    </row>
    <row r="36" spans="1:14" s="17" customFormat="1" ht="18" customHeight="1" x14ac:dyDescent="0.25">
      <c r="A36" s="116" t="s">
        <v>24</v>
      </c>
      <c r="B36" s="117"/>
      <c r="C36" s="117"/>
      <c r="D36" s="117"/>
      <c r="E36" s="117"/>
      <c r="F36" s="117"/>
      <c r="G36" s="117"/>
      <c r="H36" s="117"/>
      <c r="I36" s="117"/>
      <c r="J36" s="118"/>
    </row>
    <row r="37" spans="1:14" s="17" customFormat="1" ht="18" customHeight="1" x14ac:dyDescent="0.25">
      <c r="A37" s="116" t="s">
        <v>25</v>
      </c>
      <c r="B37" s="117"/>
      <c r="C37" s="117"/>
      <c r="D37" s="117"/>
      <c r="E37" s="117"/>
      <c r="F37" s="117"/>
      <c r="G37" s="117"/>
      <c r="H37" s="117"/>
      <c r="I37" s="117"/>
      <c r="J37" s="118"/>
    </row>
    <row r="38" spans="1:14" s="17" customFormat="1" ht="15" thickBot="1" x14ac:dyDescent="0.25">
      <c r="A38" s="54"/>
      <c r="B38" s="55"/>
      <c r="C38" s="55"/>
      <c r="D38" s="55"/>
      <c r="E38" s="55"/>
      <c r="F38" s="55"/>
      <c r="G38" s="55"/>
      <c r="H38" s="55"/>
      <c r="I38" s="55"/>
      <c r="J38" s="56"/>
    </row>
    <row r="39" spans="1:14" s="17" customFormat="1" ht="15" thickTop="1" x14ac:dyDescent="0.2">
      <c r="A39" s="62"/>
      <c r="B39" s="8"/>
      <c r="C39" s="8"/>
      <c r="D39" s="8"/>
      <c r="E39" s="8"/>
      <c r="F39" s="8"/>
      <c r="G39" s="8"/>
      <c r="H39" s="8"/>
      <c r="I39" s="8"/>
      <c r="J39" s="8"/>
    </row>
    <row r="40" spans="1:14" x14ac:dyDescent="0.2">
      <c r="J40" s="29"/>
    </row>
    <row r="41" spans="1:14" ht="12.75" hidden="1" customHeight="1" x14ac:dyDescent="0.2"/>
    <row r="42" spans="1:14" ht="30" hidden="1" customHeight="1" x14ac:dyDescent="0.4">
      <c r="A42" s="30" t="s">
        <v>2</v>
      </c>
      <c r="B42" s="31"/>
      <c r="D42" s="71" t="s">
        <v>8</v>
      </c>
      <c r="E42" s="33">
        <f ca="1">TODAY()</f>
        <v>45516</v>
      </c>
      <c r="F42" s="121" t="s">
        <v>0</v>
      </c>
      <c r="G42" s="121"/>
      <c r="H42" s="34"/>
      <c r="I42" s="34"/>
      <c r="J42" s="13"/>
    </row>
    <row r="43" spans="1:14" s="17" customFormat="1" ht="14.25" hidden="1" customHeight="1" x14ac:dyDescent="0.2">
      <c r="A43" s="15"/>
      <c r="B43" s="8"/>
      <c r="C43" s="8"/>
      <c r="D43" s="8"/>
      <c r="E43" s="8"/>
      <c r="F43" s="8"/>
      <c r="G43" s="8"/>
      <c r="H43" s="8"/>
      <c r="I43" s="8"/>
      <c r="J43" s="16"/>
    </row>
    <row r="44" spans="1:14" s="17" customFormat="1" ht="21.95" hidden="1" customHeight="1" x14ac:dyDescent="0.25">
      <c r="A44" s="6" t="s">
        <v>4</v>
      </c>
      <c r="B44" s="122" t="s">
        <v>5</v>
      </c>
      <c r="C44" s="122"/>
      <c r="D44" s="122"/>
      <c r="E44" s="122"/>
      <c r="F44" s="123" t="s">
        <v>3</v>
      </c>
      <c r="G44" s="124"/>
      <c r="H44" s="125">
        <v>9500</v>
      </c>
      <c r="I44" s="126"/>
      <c r="J44" s="19"/>
    </row>
    <row r="45" spans="1:14" s="17" customFormat="1" ht="21.95" hidden="1" customHeight="1" x14ac:dyDescent="0.25">
      <c r="A45" s="20" t="s">
        <v>3</v>
      </c>
      <c r="B45" s="127" t="str">
        <f>PESOSMN(H44)</f>
        <v>Nueve Mil Quinientos Pesos 00/100</v>
      </c>
      <c r="C45" s="127"/>
      <c r="D45" s="127"/>
      <c r="E45" s="127"/>
      <c r="F45" s="127"/>
      <c r="G45" s="127"/>
      <c r="H45" s="127"/>
      <c r="I45" s="7"/>
      <c r="J45" s="21"/>
    </row>
    <row r="46" spans="1:14" s="17" customFormat="1" ht="14.25" hidden="1" customHeight="1" x14ac:dyDescent="0.2">
      <c r="A46" s="15"/>
      <c r="B46" s="8"/>
      <c r="C46" s="8"/>
      <c r="D46" s="8"/>
      <c r="E46" s="8"/>
      <c r="F46" s="8"/>
      <c r="G46" s="8"/>
      <c r="H46" s="8"/>
      <c r="I46" s="8"/>
      <c r="J46" s="16"/>
    </row>
    <row r="47" spans="1:14" s="17" customFormat="1" ht="15" hidden="1" customHeight="1" x14ac:dyDescent="0.25">
      <c r="A47" s="6" t="s">
        <v>6</v>
      </c>
      <c r="B47" s="122" t="s">
        <v>7</v>
      </c>
      <c r="C47" s="122"/>
      <c r="D47" s="122"/>
      <c r="E47" s="122"/>
      <c r="F47" s="122"/>
      <c r="G47" s="122"/>
      <c r="H47" s="122"/>
      <c r="I47" s="8"/>
      <c r="J47" s="16"/>
    </row>
    <row r="48" spans="1:14" s="17" customFormat="1" ht="21.95" hidden="1" customHeight="1" x14ac:dyDescent="0.2">
      <c r="A48" s="35"/>
      <c r="B48" s="36"/>
      <c r="C48" s="37"/>
      <c r="D48" s="36"/>
      <c r="E48" s="8"/>
      <c r="F48" s="67" t="s">
        <v>9</v>
      </c>
      <c r="G48" s="10" t="s">
        <v>17</v>
      </c>
      <c r="H48" s="11" t="s">
        <v>10</v>
      </c>
      <c r="I48" s="12"/>
      <c r="J48" s="16"/>
    </row>
    <row r="49" spans="1:10" s="17" customFormat="1" ht="14.25" hidden="1" customHeight="1" x14ac:dyDescent="0.2">
      <c r="A49" s="15"/>
      <c r="B49" s="8"/>
      <c r="C49" s="8"/>
      <c r="D49" s="8"/>
      <c r="E49" s="8"/>
      <c r="F49" s="8"/>
      <c r="G49" s="10" t="s">
        <v>18</v>
      </c>
      <c r="H49" s="11" t="s">
        <v>11</v>
      </c>
      <c r="I49" s="39"/>
      <c r="J49" s="16"/>
    </row>
    <row r="50" spans="1:10" s="17" customFormat="1" ht="15" hidden="1" customHeight="1" x14ac:dyDescent="0.25">
      <c r="A50" s="6" t="s">
        <v>13</v>
      </c>
      <c r="B50" s="122"/>
      <c r="C50" s="122"/>
      <c r="D50" s="122"/>
      <c r="E50" s="8"/>
      <c r="F50" s="9" t="s">
        <v>1</v>
      </c>
      <c r="G50" s="10" t="s">
        <v>18</v>
      </c>
      <c r="H50" s="11" t="s">
        <v>12</v>
      </c>
      <c r="I50" s="12"/>
      <c r="J50" s="16"/>
    </row>
    <row r="51" spans="1:10" s="17" customFormat="1" ht="14.25" hidden="1" customHeight="1" x14ac:dyDescent="0.2">
      <c r="A51" s="15"/>
      <c r="B51" s="12" t="s">
        <v>14</v>
      </c>
      <c r="C51" s="8"/>
      <c r="D51" s="8"/>
      <c r="E51" s="8"/>
      <c r="F51" s="8"/>
      <c r="G51" s="8"/>
      <c r="H51" s="8"/>
      <c r="I51" s="8"/>
      <c r="J51" s="16"/>
    </row>
    <row r="52" spans="1:10" s="17" customFormat="1" ht="14.25" hidden="1" customHeight="1" x14ac:dyDescent="0.2">
      <c r="A52" s="15"/>
      <c r="B52" s="12" t="s">
        <v>15</v>
      </c>
      <c r="C52" s="8"/>
      <c r="D52" s="8"/>
      <c r="E52" s="8"/>
      <c r="F52" s="119"/>
      <c r="G52" s="119"/>
      <c r="H52" s="128"/>
      <c r="I52" s="128"/>
      <c r="J52" s="16"/>
    </row>
    <row r="53" spans="1:10" s="17" customFormat="1" ht="14.25" hidden="1" customHeight="1" x14ac:dyDescent="0.2">
      <c r="A53" s="40"/>
      <c r="B53" s="12" t="s">
        <v>16</v>
      </c>
      <c r="C53" s="8"/>
      <c r="D53" s="8"/>
      <c r="E53" s="8"/>
      <c r="F53" s="119"/>
      <c r="G53" s="119"/>
      <c r="H53" s="128"/>
      <c r="I53" s="128"/>
      <c r="J53" s="16"/>
    </row>
    <row r="54" spans="1:10" s="17" customFormat="1" ht="14.25" hidden="1" customHeight="1" x14ac:dyDescent="0.2">
      <c r="E54" s="8"/>
      <c r="F54" s="119"/>
      <c r="G54" s="119"/>
      <c r="H54" s="120"/>
      <c r="I54" s="120"/>
      <c r="J54" s="16"/>
    </row>
    <row r="55" spans="1:10" s="17" customFormat="1" ht="14.25" hidden="1" customHeight="1" x14ac:dyDescent="0.2">
      <c r="A55" s="26"/>
      <c r="B55" s="27"/>
      <c r="C55" s="27"/>
      <c r="D55" s="27"/>
      <c r="E55" s="27"/>
      <c r="F55" s="27"/>
      <c r="G55" s="27"/>
      <c r="H55" s="27"/>
      <c r="I55" s="27"/>
      <c r="J55" s="28"/>
    </row>
    <row r="56" spans="1:10" ht="12.75" hidden="1" customHeight="1" x14ac:dyDescent="0.2"/>
    <row r="57" spans="1:10" ht="12.75" hidden="1" customHeight="1" x14ac:dyDescent="0.2"/>
    <row r="58" spans="1:10" ht="30" hidden="1" customHeight="1" x14ac:dyDescent="0.4">
      <c r="A58" s="30" t="s">
        <v>2</v>
      </c>
      <c r="B58" s="31"/>
      <c r="D58" s="71" t="s">
        <v>8</v>
      </c>
      <c r="E58" s="33">
        <f ca="1">TODAY()</f>
        <v>45516</v>
      </c>
      <c r="F58" s="121" t="s">
        <v>0</v>
      </c>
      <c r="G58" s="121"/>
      <c r="H58" s="34"/>
      <c r="I58" s="34"/>
      <c r="J58" s="13"/>
    </row>
    <row r="59" spans="1:10" s="17" customFormat="1" ht="14.25" hidden="1" customHeight="1" x14ac:dyDescent="0.2">
      <c r="A59" s="15"/>
      <c r="B59" s="8"/>
      <c r="C59" s="8"/>
      <c r="D59" s="8"/>
      <c r="E59" s="8"/>
      <c r="F59" s="8"/>
      <c r="G59" s="8"/>
      <c r="H59" s="8"/>
      <c r="I59" s="8"/>
      <c r="J59" s="16"/>
    </row>
    <row r="60" spans="1:10" s="17" customFormat="1" ht="21.95" hidden="1" customHeight="1" x14ac:dyDescent="0.25">
      <c r="A60" s="6" t="s">
        <v>4</v>
      </c>
      <c r="B60" s="122" t="s">
        <v>5</v>
      </c>
      <c r="C60" s="122"/>
      <c r="D60" s="122"/>
      <c r="E60" s="122"/>
      <c r="F60" s="123" t="s">
        <v>3</v>
      </c>
      <c r="G60" s="124"/>
      <c r="H60" s="125">
        <v>60</v>
      </c>
      <c r="I60" s="126"/>
      <c r="J60" s="19"/>
    </row>
    <row r="61" spans="1:10" s="17" customFormat="1" ht="21.95" hidden="1" customHeight="1" x14ac:dyDescent="0.25">
      <c r="A61" s="20" t="s">
        <v>3</v>
      </c>
      <c r="B61" s="127" t="str">
        <f>PESOSMN(H60)</f>
        <v>Sesenta Pesos 00/100</v>
      </c>
      <c r="C61" s="127"/>
      <c r="D61" s="127"/>
      <c r="E61" s="127"/>
      <c r="F61" s="127"/>
      <c r="G61" s="127"/>
      <c r="H61" s="127"/>
      <c r="I61" s="7"/>
      <c r="J61" s="21"/>
    </row>
    <row r="62" spans="1:10" s="17" customFormat="1" ht="14.25" hidden="1" customHeight="1" x14ac:dyDescent="0.2">
      <c r="A62" s="15"/>
      <c r="B62" s="8"/>
      <c r="C62" s="8"/>
      <c r="D62" s="8"/>
      <c r="E62" s="8"/>
      <c r="F62" s="8"/>
      <c r="G62" s="8"/>
      <c r="H62" s="8"/>
      <c r="I62" s="8"/>
      <c r="J62" s="16"/>
    </row>
    <row r="63" spans="1:10" s="17" customFormat="1" ht="15" hidden="1" customHeight="1" x14ac:dyDescent="0.25">
      <c r="A63" s="6" t="s">
        <v>6</v>
      </c>
      <c r="B63" s="122" t="s">
        <v>7</v>
      </c>
      <c r="C63" s="122"/>
      <c r="D63" s="122"/>
      <c r="E63" s="122"/>
      <c r="F63" s="122"/>
      <c r="G63" s="122"/>
      <c r="H63" s="122"/>
      <c r="I63" s="8"/>
      <c r="J63" s="16"/>
    </row>
    <row r="64" spans="1:10" s="17" customFormat="1" ht="21.95" hidden="1" customHeight="1" x14ac:dyDescent="0.2">
      <c r="A64" s="35"/>
      <c r="B64" s="36"/>
      <c r="C64" s="37"/>
      <c r="D64" s="36"/>
      <c r="E64" s="8"/>
      <c r="F64" s="67" t="s">
        <v>9</v>
      </c>
      <c r="G64" s="10" t="s">
        <v>17</v>
      </c>
      <c r="H64" s="11" t="s">
        <v>10</v>
      </c>
      <c r="I64" s="12"/>
      <c r="J64" s="16"/>
    </row>
    <row r="65" spans="1:10" s="17" customFormat="1" ht="14.25" hidden="1" customHeight="1" x14ac:dyDescent="0.2">
      <c r="A65" s="15"/>
      <c r="B65" s="8"/>
      <c r="C65" s="8"/>
      <c r="D65" s="8"/>
      <c r="E65" s="8"/>
      <c r="F65" s="8"/>
      <c r="G65" s="10" t="s">
        <v>18</v>
      </c>
      <c r="H65" s="11" t="s">
        <v>11</v>
      </c>
      <c r="I65" s="39"/>
      <c r="J65" s="16"/>
    </row>
    <row r="66" spans="1:10" s="17" customFormat="1" ht="15" hidden="1" customHeight="1" x14ac:dyDescent="0.25">
      <c r="A66" s="6" t="s">
        <v>13</v>
      </c>
      <c r="B66" s="122"/>
      <c r="C66" s="122"/>
      <c r="D66" s="122"/>
      <c r="E66" s="8"/>
      <c r="F66" s="9" t="s">
        <v>1</v>
      </c>
      <c r="G66" s="10" t="s">
        <v>18</v>
      </c>
      <c r="H66" s="11" t="s">
        <v>12</v>
      </c>
      <c r="I66" s="12"/>
      <c r="J66" s="16"/>
    </row>
    <row r="67" spans="1:10" s="17" customFormat="1" ht="14.25" hidden="1" customHeight="1" x14ac:dyDescent="0.2">
      <c r="A67" s="15"/>
      <c r="B67" s="12" t="s">
        <v>14</v>
      </c>
      <c r="C67" s="8"/>
      <c r="D67" s="8"/>
      <c r="E67" s="8"/>
      <c r="F67" s="8"/>
      <c r="G67" s="8"/>
      <c r="H67" s="8"/>
      <c r="I67" s="8"/>
      <c r="J67" s="16"/>
    </row>
    <row r="68" spans="1:10" s="17" customFormat="1" ht="14.25" hidden="1" customHeight="1" x14ac:dyDescent="0.2">
      <c r="A68" s="15"/>
      <c r="B68" s="12" t="s">
        <v>15</v>
      </c>
      <c r="C68" s="8"/>
      <c r="D68" s="8"/>
      <c r="E68" s="8"/>
      <c r="F68" s="119"/>
      <c r="G68" s="119"/>
      <c r="H68" s="128"/>
      <c r="I68" s="128"/>
      <c r="J68" s="16"/>
    </row>
    <row r="69" spans="1:10" s="17" customFormat="1" ht="14.25" hidden="1" customHeight="1" x14ac:dyDescent="0.2">
      <c r="A69" s="40"/>
      <c r="B69" s="12" t="s">
        <v>16</v>
      </c>
      <c r="C69" s="8"/>
      <c r="D69" s="8"/>
      <c r="E69" s="8"/>
      <c r="F69" s="119"/>
      <c r="G69" s="119"/>
      <c r="H69" s="128"/>
      <c r="I69" s="128"/>
      <c r="J69" s="16"/>
    </row>
    <row r="70" spans="1:10" s="17" customFormat="1" ht="14.25" hidden="1" customHeight="1" x14ac:dyDescent="0.2">
      <c r="E70" s="8"/>
      <c r="F70" s="119"/>
      <c r="G70" s="119"/>
      <c r="H70" s="120"/>
      <c r="I70" s="120"/>
      <c r="J70" s="16"/>
    </row>
    <row r="71" spans="1:10" s="17" customFormat="1" ht="14.25" hidden="1" customHeight="1" x14ac:dyDescent="0.2">
      <c r="A71" s="26"/>
      <c r="B71" s="27"/>
      <c r="C71" s="27"/>
      <c r="D71" s="27"/>
      <c r="E71" s="27"/>
      <c r="F71" s="27"/>
      <c r="G71" s="27"/>
      <c r="H71" s="27"/>
      <c r="I71" s="27"/>
      <c r="J71" s="28"/>
    </row>
    <row r="72" spans="1:10" ht="12.75" hidden="1" customHeight="1" x14ac:dyDescent="0.2"/>
    <row r="73" spans="1:10" ht="12.75" hidden="1" customHeight="1" x14ac:dyDescent="0.2"/>
    <row r="74" spans="1:10" ht="12.75" hidden="1" customHeight="1" x14ac:dyDescent="0.2"/>
    <row r="75" spans="1:10" ht="12.75" hidden="1" customHeight="1" x14ac:dyDescent="0.2"/>
    <row r="76" spans="1:10" ht="12.75" hidden="1" customHeight="1" x14ac:dyDescent="0.2"/>
    <row r="77" spans="1:10" ht="12.75" hidden="1" customHeight="1" x14ac:dyDescent="0.2"/>
    <row r="78" spans="1:10" ht="12.75" hidden="1" customHeight="1" x14ac:dyDescent="0.2"/>
    <row r="79" spans="1:10" ht="12.75" hidden="1" customHeight="1" x14ac:dyDescent="0.2"/>
    <row r="80" spans="1:10" ht="12.75" hidden="1" customHeight="1" x14ac:dyDescent="0.2"/>
    <row r="81" ht="12.75" hidden="1" customHeight="1" x14ac:dyDescent="0.2"/>
    <row r="82" ht="12.75" hidden="1" customHeight="1" x14ac:dyDescent="0.2"/>
    <row r="83" ht="12.75" hidden="1" customHeight="1" x14ac:dyDescent="0.2"/>
    <row r="84" ht="12.75" hidden="1" customHeight="1" x14ac:dyDescent="0.2"/>
    <row r="85" ht="12.75" hidden="1" customHeight="1" x14ac:dyDescent="0.2"/>
    <row r="86" ht="12.75" hidden="1" customHeight="1" x14ac:dyDescent="0.2"/>
    <row r="87" ht="12.75" hidden="1" customHeight="1" x14ac:dyDescent="0.2"/>
    <row r="88" ht="12.75" hidden="1" customHeight="1" x14ac:dyDescent="0.2"/>
    <row r="89" ht="12.75" hidden="1" customHeight="1" x14ac:dyDescent="0.2"/>
    <row r="90" ht="12.75" hidden="1" customHeight="1" x14ac:dyDescent="0.2"/>
    <row r="91" ht="12.75" hidden="1" customHeight="1" x14ac:dyDescent="0.2"/>
    <row r="92" ht="12.75" hidden="1" customHeight="1" x14ac:dyDescent="0.2"/>
    <row r="93" ht="12.75" hidden="1" customHeight="1" x14ac:dyDescent="0.2"/>
    <row r="94" ht="12.75" hidden="1" customHeight="1" x14ac:dyDescent="0.2"/>
    <row r="95" ht="12.75" hidden="1" customHeight="1" x14ac:dyDescent="0.2"/>
    <row r="96" ht="12.75" hidden="1" customHeight="1" x14ac:dyDescent="0.2"/>
    <row r="97" ht="12.75" hidden="1" customHeight="1" x14ac:dyDescent="0.2"/>
    <row r="98" ht="12.75" hidden="1" customHeight="1" x14ac:dyDescent="0.2"/>
    <row r="99" ht="12.75" hidden="1" customHeight="1" x14ac:dyDescent="0.2"/>
    <row r="100" ht="12.75" hidden="1" customHeight="1" x14ac:dyDescent="0.2"/>
    <row r="101" ht="12.75" hidden="1" customHeight="1" x14ac:dyDescent="0.2"/>
    <row r="102" ht="12.75" hidden="1" customHeight="1" x14ac:dyDescent="0.2"/>
    <row r="103" ht="12.75" hidden="1" customHeight="1" x14ac:dyDescent="0.2"/>
    <row r="104" ht="12.75" hidden="1" customHeight="1" x14ac:dyDescent="0.2"/>
    <row r="105" ht="12.75" hidden="1" customHeight="1" x14ac:dyDescent="0.2"/>
    <row r="106" ht="12.75" hidden="1" customHeight="1" x14ac:dyDescent="0.2"/>
    <row r="107" ht="12.75" hidden="1" customHeight="1" x14ac:dyDescent="0.2"/>
    <row r="108" ht="12.75" hidden="1" customHeight="1" x14ac:dyDescent="0.2"/>
    <row r="109" ht="12.75" hidden="1" customHeight="1" x14ac:dyDescent="0.2"/>
    <row r="110" ht="12.75" hidden="1" customHeight="1" x14ac:dyDescent="0.2"/>
    <row r="111" ht="12.75" hidden="1" customHeight="1" x14ac:dyDescent="0.2"/>
    <row r="112" ht="12.75" hidden="1" customHeight="1" x14ac:dyDescent="0.2"/>
    <row r="113" ht="12.75" hidden="1" customHeight="1" x14ac:dyDescent="0.2"/>
    <row r="114" ht="12.75" hidden="1" customHeight="1" x14ac:dyDescent="0.2"/>
    <row r="115" ht="12.75" hidden="1" customHeight="1" x14ac:dyDescent="0.2"/>
    <row r="116" ht="12.75" hidden="1" customHeight="1" x14ac:dyDescent="0.2"/>
    <row r="117" ht="12.75" hidden="1" customHeight="1" x14ac:dyDescent="0.2"/>
    <row r="118" ht="12.75" hidden="1" customHeight="1" x14ac:dyDescent="0.2"/>
    <row r="119" ht="12.75" hidden="1" customHeight="1" x14ac:dyDescent="0.2"/>
    <row r="120" ht="12.75" hidden="1" customHeight="1" x14ac:dyDescent="0.2"/>
    <row r="121" ht="12.75" hidden="1" customHeight="1" x14ac:dyDescent="0.2"/>
    <row r="122" ht="12.75" hidden="1" customHeight="1" x14ac:dyDescent="0.2"/>
    <row r="123" ht="12.75" hidden="1" customHeight="1" x14ac:dyDescent="0.2"/>
    <row r="124" ht="12.75" hidden="1" customHeight="1" x14ac:dyDescent="0.2"/>
    <row r="125" ht="12.75" hidden="1" customHeight="1" x14ac:dyDescent="0.2"/>
    <row r="126" ht="12.75" hidden="1" customHeight="1" x14ac:dyDescent="0.2"/>
    <row r="127" ht="12.75" hidden="1" customHeight="1" x14ac:dyDescent="0.2"/>
    <row r="128" ht="12.75" hidden="1" customHeight="1" x14ac:dyDescent="0.2"/>
    <row r="129" ht="12.75" hidden="1" customHeight="1" x14ac:dyDescent="0.2"/>
    <row r="130" ht="12.75" hidden="1" customHeight="1" x14ac:dyDescent="0.2"/>
    <row r="131" ht="12.75" hidden="1" customHeight="1" x14ac:dyDescent="0.2"/>
    <row r="132" ht="12.75" hidden="1" customHeight="1" x14ac:dyDescent="0.2"/>
    <row r="133" ht="12.75" hidden="1" customHeight="1" x14ac:dyDescent="0.2"/>
    <row r="134" ht="12.75" hidden="1" customHeight="1" x14ac:dyDescent="0.2"/>
    <row r="135" ht="12.75" hidden="1" customHeight="1" x14ac:dyDescent="0.2"/>
    <row r="136" ht="12.75" hidden="1" customHeight="1" x14ac:dyDescent="0.2"/>
    <row r="137" ht="12.75" hidden="1" customHeight="1" x14ac:dyDescent="0.2"/>
    <row r="138" ht="12.75" hidden="1" customHeight="1" x14ac:dyDescent="0.2"/>
    <row r="139" ht="12.75" hidden="1" customHeight="1" x14ac:dyDescent="0.2"/>
    <row r="140" ht="12.75" hidden="1" customHeight="1" x14ac:dyDescent="0.2"/>
    <row r="141" ht="12.75" hidden="1" customHeight="1" x14ac:dyDescent="0.2"/>
    <row r="142" ht="12.75" hidden="1" customHeight="1" x14ac:dyDescent="0.2"/>
    <row r="143" ht="12.75" hidden="1" customHeight="1" x14ac:dyDescent="0.2"/>
    <row r="144" ht="12.75" hidden="1" customHeight="1" x14ac:dyDescent="0.2"/>
    <row r="145" ht="12.75" hidden="1" customHeight="1" x14ac:dyDescent="0.2"/>
    <row r="146" ht="12.75" hidden="1" customHeight="1" x14ac:dyDescent="0.2"/>
    <row r="147" ht="12.75" hidden="1" customHeight="1" x14ac:dyDescent="0.2"/>
    <row r="148" ht="12.75" hidden="1" customHeight="1" x14ac:dyDescent="0.2"/>
    <row r="149" ht="12.75" hidden="1" customHeight="1" x14ac:dyDescent="0.2"/>
    <row r="150" ht="12.75" hidden="1" customHeight="1" x14ac:dyDescent="0.2"/>
    <row r="151" ht="12.75" hidden="1" customHeight="1" x14ac:dyDescent="0.2"/>
    <row r="152" ht="12.75" hidden="1" customHeight="1" x14ac:dyDescent="0.2"/>
    <row r="153" ht="12.75" hidden="1" customHeight="1" x14ac:dyDescent="0.2"/>
    <row r="154" ht="12.75" hidden="1" customHeight="1" x14ac:dyDescent="0.2"/>
    <row r="155" ht="12.75" hidden="1" customHeight="1" x14ac:dyDescent="0.2"/>
    <row r="156" ht="12.75" hidden="1" customHeight="1" x14ac:dyDescent="0.2"/>
    <row r="157" ht="12.75" hidden="1" customHeight="1" x14ac:dyDescent="0.2"/>
    <row r="158" ht="12.75" hidden="1" customHeight="1" x14ac:dyDescent="0.2"/>
    <row r="159" ht="12.75" hidden="1" customHeight="1" x14ac:dyDescent="0.2"/>
    <row r="160" ht="12.75" hidden="1" customHeight="1" x14ac:dyDescent="0.2"/>
    <row r="161" ht="12.75" hidden="1" customHeight="1" x14ac:dyDescent="0.2"/>
    <row r="162" ht="12.75" hidden="1" customHeight="1" x14ac:dyDescent="0.2"/>
    <row r="163" ht="12.75" hidden="1" customHeight="1" x14ac:dyDescent="0.2"/>
    <row r="164" ht="12.75" hidden="1" customHeight="1" x14ac:dyDescent="0.2"/>
    <row r="165" ht="12.75" hidden="1" customHeight="1" x14ac:dyDescent="0.2"/>
    <row r="166" ht="12.75" hidden="1" customHeight="1" x14ac:dyDescent="0.2"/>
    <row r="167" ht="12.75" hidden="1" customHeight="1" x14ac:dyDescent="0.2"/>
    <row r="168" ht="12.75" hidden="1" customHeight="1" x14ac:dyDescent="0.2"/>
    <row r="169" ht="12.75" hidden="1" customHeight="1" x14ac:dyDescent="0.2"/>
    <row r="170" ht="12.75" hidden="1" customHeight="1" x14ac:dyDescent="0.2"/>
    <row r="171" ht="12.75" hidden="1" customHeight="1" x14ac:dyDescent="0.2"/>
    <row r="172" ht="12.75" hidden="1" customHeight="1" x14ac:dyDescent="0.2"/>
    <row r="173" ht="12.75" hidden="1" customHeight="1" x14ac:dyDescent="0.2"/>
    <row r="174" ht="12.75" hidden="1" customHeight="1" x14ac:dyDescent="0.2"/>
    <row r="175" ht="12.75" hidden="1" customHeight="1" x14ac:dyDescent="0.2"/>
    <row r="176" ht="12.75" hidden="1" customHeight="1" x14ac:dyDescent="0.2"/>
    <row r="177" ht="12.75" hidden="1" customHeight="1" x14ac:dyDescent="0.2"/>
    <row r="178" ht="12.75" hidden="1" customHeight="1" x14ac:dyDescent="0.2"/>
    <row r="179" ht="12.75" hidden="1" customHeight="1" x14ac:dyDescent="0.2"/>
    <row r="180" ht="12.75" hidden="1" customHeight="1" x14ac:dyDescent="0.2"/>
    <row r="181" ht="12.75" hidden="1" customHeight="1" x14ac:dyDescent="0.2"/>
    <row r="182" ht="12.75" hidden="1" customHeight="1" x14ac:dyDescent="0.2"/>
    <row r="183" ht="12.75" hidden="1" customHeight="1" x14ac:dyDescent="0.2"/>
    <row r="184" ht="12.75" hidden="1" customHeight="1" x14ac:dyDescent="0.2"/>
    <row r="185" ht="12.75" hidden="1" customHeight="1" x14ac:dyDescent="0.2"/>
    <row r="186" ht="12.75" hidden="1" customHeight="1" x14ac:dyDescent="0.2"/>
    <row r="187" ht="12.75" hidden="1" customHeight="1" x14ac:dyDescent="0.2"/>
    <row r="188" ht="12.75" hidden="1" customHeight="1" x14ac:dyDescent="0.2"/>
    <row r="189" ht="12.75" hidden="1" customHeight="1" x14ac:dyDescent="0.2"/>
    <row r="190" ht="12.75" hidden="1" customHeight="1" x14ac:dyDescent="0.2"/>
    <row r="191" ht="12.75" hidden="1" customHeight="1" x14ac:dyDescent="0.2"/>
    <row r="192" ht="12.75" hidden="1" customHeight="1" x14ac:dyDescent="0.2"/>
    <row r="193" ht="12.75" hidden="1" customHeight="1" x14ac:dyDescent="0.2"/>
    <row r="194" ht="12.75" hidden="1" customHeight="1" x14ac:dyDescent="0.2"/>
    <row r="195" ht="12.75" hidden="1" customHeight="1" x14ac:dyDescent="0.2"/>
    <row r="196" ht="12.75" hidden="1" customHeight="1" x14ac:dyDescent="0.2"/>
    <row r="197" ht="12.75" hidden="1" customHeight="1" x14ac:dyDescent="0.2"/>
    <row r="198" ht="12.75" hidden="1" customHeight="1" x14ac:dyDescent="0.2"/>
    <row r="199" ht="12.75" hidden="1" customHeight="1" x14ac:dyDescent="0.2"/>
    <row r="200" ht="12.75" hidden="1" customHeight="1" x14ac:dyDescent="0.2"/>
    <row r="201" ht="12.75" hidden="1" customHeight="1" x14ac:dyDescent="0.2"/>
    <row r="202" ht="12.75" hidden="1" customHeight="1" x14ac:dyDescent="0.2"/>
    <row r="203" ht="12.75" hidden="1" customHeight="1" x14ac:dyDescent="0.2"/>
    <row r="204" ht="12.75" hidden="1" customHeight="1" x14ac:dyDescent="0.2"/>
    <row r="205" ht="12.75" hidden="1" customHeight="1" x14ac:dyDescent="0.2"/>
    <row r="206" ht="12.75" hidden="1" customHeight="1" x14ac:dyDescent="0.2"/>
    <row r="207" ht="12.75" hidden="1" customHeight="1" x14ac:dyDescent="0.2"/>
    <row r="208" ht="12.75" hidden="1" customHeight="1" x14ac:dyDescent="0.2"/>
    <row r="209" spans="1:10" ht="12.75" hidden="1" customHeight="1" x14ac:dyDescent="0.2"/>
    <row r="210" spans="1:10" ht="12.75" hidden="1" customHeight="1" x14ac:dyDescent="0.2"/>
    <row r="211" spans="1:10" ht="12.75" hidden="1" customHeight="1" x14ac:dyDescent="0.2"/>
    <row r="212" spans="1:10" ht="12.75" hidden="1" customHeight="1" x14ac:dyDescent="0.2"/>
    <row r="213" spans="1:10" ht="12.75" hidden="1" customHeight="1" x14ac:dyDescent="0.2"/>
    <row r="214" spans="1:10" ht="12.75" hidden="1" customHeight="1" x14ac:dyDescent="0.2"/>
    <row r="215" spans="1:10" x14ac:dyDescent="0.2">
      <c r="A215" s="41"/>
      <c r="B215" s="58"/>
      <c r="C215" s="58"/>
      <c r="D215" s="58"/>
      <c r="E215" s="41"/>
      <c r="F215" s="41"/>
      <c r="G215" s="58"/>
      <c r="H215" s="58"/>
      <c r="I215" s="58"/>
      <c r="J215" s="41"/>
    </row>
    <row r="216" spans="1:10" x14ac:dyDescent="0.2">
      <c r="A216" s="41"/>
      <c r="B216" s="59"/>
      <c r="C216" s="41"/>
      <c r="D216" s="41"/>
      <c r="E216" s="41"/>
      <c r="F216" s="41"/>
      <c r="G216" s="60"/>
      <c r="H216" s="58"/>
      <c r="I216" s="58"/>
      <c r="J216" s="41"/>
    </row>
    <row r="217" spans="1:10" ht="15" x14ac:dyDescent="0.2">
      <c r="A217" s="41"/>
      <c r="B217" s="61"/>
      <c r="C217" s="41"/>
      <c r="D217" s="57" t="s">
        <v>31</v>
      </c>
      <c r="E217" s="57"/>
      <c r="F217" s="57"/>
      <c r="G217" s="57"/>
      <c r="H217" s="57"/>
      <c r="I217" s="57"/>
      <c r="J217" s="57"/>
    </row>
    <row r="218" spans="1:10" ht="17.25" customHeight="1" x14ac:dyDescent="0.2">
      <c r="A218" s="148" t="s">
        <v>32</v>
      </c>
      <c r="B218" s="149"/>
      <c r="C218" s="149"/>
      <c r="D218" s="149"/>
      <c r="E218" s="149"/>
      <c r="F218" s="149"/>
      <c r="G218" s="149"/>
      <c r="H218" s="149"/>
      <c r="I218" s="149"/>
      <c r="J218" s="149"/>
    </row>
    <row r="219" spans="1:10" ht="15" x14ac:dyDescent="0.2">
      <c r="A219" s="150" t="s">
        <v>33</v>
      </c>
      <c r="B219" s="150"/>
      <c r="C219" s="150"/>
      <c r="D219" s="150"/>
      <c r="E219" s="150"/>
      <c r="F219" s="150"/>
      <c r="G219" s="150"/>
      <c r="H219" s="150"/>
      <c r="I219" s="150"/>
      <c r="J219" s="150"/>
    </row>
  </sheetData>
  <mergeCells count="68">
    <mergeCell ref="F70:G70"/>
    <mergeCell ref="H70:I70"/>
    <mergeCell ref="A218:J218"/>
    <mergeCell ref="A219:J219"/>
    <mergeCell ref="G9:J9"/>
    <mergeCell ref="B61:H61"/>
    <mergeCell ref="B63:H63"/>
    <mergeCell ref="B66:D66"/>
    <mergeCell ref="F68:G68"/>
    <mergeCell ref="H68:I68"/>
    <mergeCell ref="F69:G69"/>
    <mergeCell ref="H69:I69"/>
    <mergeCell ref="F54:G54"/>
    <mergeCell ref="H54:I54"/>
    <mergeCell ref="F58:G58"/>
    <mergeCell ref="B60:E60"/>
    <mergeCell ref="F60:G60"/>
    <mergeCell ref="H60:I60"/>
    <mergeCell ref="B45:H45"/>
    <mergeCell ref="B47:H47"/>
    <mergeCell ref="B50:D50"/>
    <mergeCell ref="F52:G52"/>
    <mergeCell ref="H52:I52"/>
    <mergeCell ref="F53:G53"/>
    <mergeCell ref="H53:I53"/>
    <mergeCell ref="B44:E44"/>
    <mergeCell ref="F44:G44"/>
    <mergeCell ref="H44:I44"/>
    <mergeCell ref="A28:J28"/>
    <mergeCell ref="B29:C29"/>
    <mergeCell ref="E29:F29"/>
    <mergeCell ref="G29:H29"/>
    <mergeCell ref="A30:I30"/>
    <mergeCell ref="F31:G31"/>
    <mergeCell ref="H31:I31"/>
    <mergeCell ref="A32:J32"/>
    <mergeCell ref="A35:J35"/>
    <mergeCell ref="A36:J36"/>
    <mergeCell ref="A37:J37"/>
    <mergeCell ref="F42:G42"/>
    <mergeCell ref="A23:E23"/>
    <mergeCell ref="H23:I23"/>
    <mergeCell ref="A24:E24"/>
    <mergeCell ref="H24:I24"/>
    <mergeCell ref="A27:E27"/>
    <mergeCell ref="H27:I27"/>
    <mergeCell ref="A25:G25"/>
    <mergeCell ref="H25:I25"/>
    <mergeCell ref="A26:G26"/>
    <mergeCell ref="H26:I26"/>
    <mergeCell ref="A22:E22"/>
    <mergeCell ref="H22:I22"/>
    <mergeCell ref="B10:I10"/>
    <mergeCell ref="B12:E12"/>
    <mergeCell ref="F12:G12"/>
    <mergeCell ref="H12:I12"/>
    <mergeCell ref="B13:C13"/>
    <mergeCell ref="B14:I14"/>
    <mergeCell ref="B16:I18"/>
    <mergeCell ref="A20:F20"/>
    <mergeCell ref="H20:I20"/>
    <mergeCell ref="A21:E21"/>
    <mergeCell ref="H21:I21"/>
    <mergeCell ref="A3:J3"/>
    <mergeCell ref="A4:J4"/>
    <mergeCell ref="A5:J5"/>
    <mergeCell ref="A6:J6"/>
    <mergeCell ref="A7:J7"/>
  </mergeCells>
  <hyperlinks>
    <hyperlink ref="A218" r:id="rId1" display="mailto:asociacionindigenalewashii@gmail.com"/>
  </hyperlinks>
  <pageMargins left="0.70866141732283472" right="0.70866141732283472" top="0.74803149606299213" bottom="0.74803149606299213" header="0.31496062992125984" footer="0.31496062992125984"/>
  <pageSetup scale="88"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19"/>
  <sheetViews>
    <sheetView showGridLines="0" view="pageBreakPreview" topLeftCell="A4" zoomScaleNormal="100" zoomScaleSheetLayoutView="100" workbookViewId="0">
      <selection activeCell="B10" sqref="B10:I10"/>
    </sheetView>
  </sheetViews>
  <sheetFormatPr baseColWidth="10" defaultColWidth="9.140625" defaultRowHeight="12.75" x14ac:dyDescent="0.2"/>
  <cols>
    <col min="1" max="1" width="17.28515625" style="14" customWidth="1"/>
    <col min="2" max="2" width="14" style="14" customWidth="1"/>
    <col min="3" max="3" width="10.42578125" style="14" customWidth="1"/>
    <col min="4" max="4" width="8.7109375" style="14" customWidth="1"/>
    <col min="5" max="5" width="13.28515625" style="14" customWidth="1"/>
    <col min="6" max="6" width="12.5703125" style="14" customWidth="1"/>
    <col min="7" max="7" width="3.28515625" style="14" bestFit="1" customWidth="1"/>
    <col min="8" max="8" width="7.85546875" style="14" customWidth="1"/>
    <col min="9" max="9" width="14.140625" style="14" customWidth="1"/>
    <col min="10" max="10" width="3.140625" style="14" customWidth="1"/>
    <col min="11" max="11" width="5.5703125" style="14" customWidth="1"/>
    <col min="12" max="12" width="15.7109375" style="14" customWidth="1"/>
    <col min="13" max="16384" width="9.140625" style="14"/>
  </cols>
  <sheetData>
    <row r="1" spans="1:12" x14ac:dyDescent="0.2">
      <c r="A1" s="41"/>
      <c r="B1" s="42"/>
      <c r="C1" s="42"/>
      <c r="D1" s="42"/>
      <c r="E1" s="42"/>
      <c r="F1" s="42"/>
      <c r="G1" s="42"/>
      <c r="H1" s="42"/>
      <c r="I1" s="42"/>
    </row>
    <row r="2" spans="1:12" x14ac:dyDescent="0.2">
      <c r="A2" s="41"/>
      <c r="B2" s="41"/>
      <c r="C2" s="41"/>
      <c r="D2" s="41"/>
      <c r="E2" s="41"/>
      <c r="F2" s="41"/>
      <c r="G2" s="41"/>
      <c r="H2" s="41"/>
      <c r="I2" s="41"/>
    </row>
    <row r="3" spans="1:12" ht="15.75" x14ac:dyDescent="0.2">
      <c r="A3" s="131" t="s">
        <v>26</v>
      </c>
      <c r="B3" s="131"/>
      <c r="C3" s="131"/>
      <c r="D3" s="131"/>
      <c r="E3" s="131"/>
      <c r="F3" s="131"/>
      <c r="G3" s="131"/>
      <c r="H3" s="131"/>
      <c r="I3" s="131"/>
      <c r="J3" s="131"/>
    </row>
    <row r="4" spans="1:12" ht="18.75" x14ac:dyDescent="0.2">
      <c r="A4" s="130" t="s">
        <v>27</v>
      </c>
      <c r="B4" s="130"/>
      <c r="C4" s="130"/>
      <c r="D4" s="130"/>
      <c r="E4" s="130"/>
      <c r="F4" s="130"/>
      <c r="G4" s="130"/>
      <c r="H4" s="130"/>
      <c r="I4" s="130"/>
      <c r="J4" s="130"/>
    </row>
    <row r="5" spans="1:12" ht="15" x14ac:dyDescent="0.2">
      <c r="A5" s="129" t="s">
        <v>28</v>
      </c>
      <c r="B5" s="129"/>
      <c r="C5" s="129"/>
      <c r="D5" s="129"/>
      <c r="E5" s="129"/>
      <c r="F5" s="129"/>
      <c r="G5" s="129"/>
      <c r="H5" s="129"/>
      <c r="I5" s="129"/>
      <c r="J5" s="129"/>
    </row>
    <row r="6" spans="1:12" ht="15.75" x14ac:dyDescent="0.2">
      <c r="A6" s="131" t="s">
        <v>29</v>
      </c>
      <c r="B6" s="131"/>
      <c r="C6" s="131"/>
      <c r="D6" s="131"/>
      <c r="E6" s="131"/>
      <c r="F6" s="131"/>
      <c r="G6" s="131"/>
      <c r="H6" s="131"/>
      <c r="I6" s="131"/>
      <c r="J6" s="131"/>
    </row>
    <row r="7" spans="1:12" ht="18.75" x14ac:dyDescent="0.3">
      <c r="A7" s="151" t="s">
        <v>30</v>
      </c>
      <c r="B7" s="151"/>
      <c r="C7" s="151"/>
      <c r="D7" s="151"/>
      <c r="E7" s="151"/>
      <c r="F7" s="151"/>
      <c r="G7" s="151"/>
      <c r="H7" s="151"/>
      <c r="I7" s="151"/>
      <c r="J7" s="151"/>
    </row>
    <row r="8" spans="1:12" ht="8.25" customHeight="1" thickBot="1" x14ac:dyDescent="0.25"/>
    <row r="9" spans="1:12" ht="30.75" thickTop="1" x14ac:dyDescent="0.4">
      <c r="A9" s="74" t="s">
        <v>57</v>
      </c>
      <c r="B9" s="75"/>
      <c r="C9" s="75"/>
      <c r="D9" s="75"/>
      <c r="E9" s="75"/>
      <c r="F9" s="75"/>
      <c r="G9" s="146" t="s">
        <v>97</v>
      </c>
      <c r="H9" s="146"/>
      <c r="I9" s="146"/>
      <c r="J9" s="147"/>
    </row>
    <row r="10" spans="1:12" ht="23.25" x14ac:dyDescent="0.35">
      <c r="A10" s="43" t="s">
        <v>20</v>
      </c>
      <c r="B10" s="153" t="str">
        <f>+AMBIENTAL!B10:I10</f>
        <v>16 de Agosto de 2023</v>
      </c>
      <c r="C10" s="153"/>
      <c r="D10" s="153"/>
      <c r="E10" s="153"/>
      <c r="F10" s="153"/>
      <c r="G10" s="153"/>
      <c r="H10" s="153"/>
      <c r="I10" s="153"/>
      <c r="J10" s="44"/>
    </row>
    <row r="11" spans="1:12" s="17" customFormat="1" ht="14.25" x14ac:dyDescent="0.2">
      <c r="A11" s="45"/>
      <c r="B11" s="8"/>
      <c r="C11" s="8"/>
      <c r="D11" s="8"/>
      <c r="E11" s="8"/>
      <c r="F11" s="8"/>
      <c r="G11" s="8"/>
      <c r="H11" s="8"/>
      <c r="I11" s="8"/>
      <c r="J11" s="46"/>
      <c r="L11" s="18"/>
    </row>
    <row r="12" spans="1:12" s="17" customFormat="1" ht="21.95" customHeight="1" x14ac:dyDescent="0.25">
      <c r="A12" s="47" t="s">
        <v>19</v>
      </c>
      <c r="B12" s="122" t="s">
        <v>53</v>
      </c>
      <c r="C12" s="122"/>
      <c r="D12" s="122"/>
      <c r="E12" s="122"/>
      <c r="F12" s="123" t="s">
        <v>3</v>
      </c>
      <c r="G12" s="124"/>
      <c r="H12" s="167">
        <f>+H27</f>
        <v>1750000</v>
      </c>
      <c r="I12" s="168"/>
      <c r="J12" s="48"/>
      <c r="L12" s="72"/>
    </row>
    <row r="13" spans="1:12" s="17" customFormat="1" ht="21.95" customHeight="1" x14ac:dyDescent="0.25">
      <c r="A13" s="47" t="s">
        <v>35</v>
      </c>
      <c r="B13" s="152">
        <v>1006916766</v>
      </c>
      <c r="C13" s="152"/>
      <c r="D13" s="66" t="s">
        <v>38</v>
      </c>
      <c r="E13" s="66"/>
      <c r="F13" s="73" t="s">
        <v>48</v>
      </c>
      <c r="G13" s="2"/>
      <c r="H13" s="3"/>
      <c r="I13" s="3"/>
      <c r="J13" s="48"/>
      <c r="L13" s="73" t="s">
        <v>46</v>
      </c>
    </row>
    <row r="14" spans="1:12" s="17" customFormat="1" ht="21.95" customHeight="1" x14ac:dyDescent="0.25">
      <c r="A14" s="49" t="s">
        <v>3</v>
      </c>
      <c r="B14" s="115" t="str">
        <f>PESOSMN(H12)</f>
        <v>Un Millón Setecientos Cincuenta Mil Pesos 00/100</v>
      </c>
      <c r="C14" s="115"/>
      <c r="D14" s="115"/>
      <c r="E14" s="115"/>
      <c r="F14" s="115"/>
      <c r="G14" s="115"/>
      <c r="H14" s="115"/>
      <c r="I14" s="115"/>
      <c r="J14" s="50"/>
    </row>
    <row r="15" spans="1:12" s="17" customFormat="1" ht="15" thickBot="1" x14ac:dyDescent="0.25">
      <c r="A15" s="45"/>
      <c r="B15" s="8"/>
      <c r="C15" s="8"/>
      <c r="D15" s="8"/>
      <c r="E15" s="8"/>
      <c r="F15" s="8"/>
      <c r="G15" s="8"/>
      <c r="H15" s="8"/>
      <c r="I15" s="8"/>
      <c r="J15" s="46"/>
    </row>
    <row r="16" spans="1:12" s="17" customFormat="1" ht="16.5" customHeight="1" thickTop="1" x14ac:dyDescent="0.25">
      <c r="A16" s="47" t="s">
        <v>6</v>
      </c>
      <c r="B16" s="156" t="s">
        <v>86</v>
      </c>
      <c r="C16" s="157"/>
      <c r="D16" s="157"/>
      <c r="E16" s="157"/>
      <c r="F16" s="157"/>
      <c r="G16" s="157"/>
      <c r="H16" s="157"/>
      <c r="I16" s="158"/>
      <c r="J16" s="46"/>
    </row>
    <row r="17" spans="1:10" s="17" customFormat="1" ht="15" x14ac:dyDescent="0.25">
      <c r="A17" s="51"/>
      <c r="B17" s="159"/>
      <c r="C17" s="160"/>
      <c r="D17" s="160"/>
      <c r="E17" s="160"/>
      <c r="F17" s="160"/>
      <c r="G17" s="160"/>
      <c r="H17" s="160"/>
      <c r="I17" s="161"/>
      <c r="J17" s="46"/>
    </row>
    <row r="18" spans="1:10" s="17" customFormat="1" ht="15.75" thickBot="1" x14ac:dyDescent="0.3">
      <c r="A18" s="51"/>
      <c r="B18" s="162"/>
      <c r="C18" s="163"/>
      <c r="D18" s="163"/>
      <c r="E18" s="163"/>
      <c r="F18" s="163"/>
      <c r="G18" s="163"/>
      <c r="H18" s="163"/>
      <c r="I18" s="164"/>
      <c r="J18" s="46"/>
    </row>
    <row r="19" spans="1:10" s="17" customFormat="1" ht="15.75" thickTop="1" x14ac:dyDescent="0.25">
      <c r="A19" s="51"/>
      <c r="B19" s="63"/>
      <c r="C19" s="63"/>
      <c r="D19" s="63"/>
      <c r="E19" s="63"/>
      <c r="F19" s="63"/>
      <c r="G19" s="63"/>
      <c r="H19" s="63"/>
      <c r="I19" s="63"/>
      <c r="J19" s="46"/>
    </row>
    <row r="20" spans="1:10" s="17" customFormat="1" ht="18" x14ac:dyDescent="0.25">
      <c r="A20" s="105" t="s">
        <v>42</v>
      </c>
      <c r="B20" s="106"/>
      <c r="C20" s="106"/>
      <c r="D20" s="106"/>
      <c r="E20" s="106"/>
      <c r="F20" s="106"/>
      <c r="G20" s="63"/>
      <c r="H20" s="167">
        <f>+ROUND(H22/(1+F21),0)</f>
        <v>1750000</v>
      </c>
      <c r="I20" s="168"/>
      <c r="J20" s="46"/>
    </row>
    <row r="21" spans="1:10" s="17" customFormat="1" ht="18" x14ac:dyDescent="0.25">
      <c r="A21" s="105" t="s">
        <v>37</v>
      </c>
      <c r="B21" s="106"/>
      <c r="C21" s="106"/>
      <c r="D21" s="106"/>
      <c r="E21" s="106"/>
      <c r="F21" s="5">
        <v>0</v>
      </c>
      <c r="G21" s="22"/>
      <c r="H21" s="137">
        <f>+ROUND(F21*H20,0)</f>
        <v>0</v>
      </c>
      <c r="I21" s="138"/>
      <c r="J21" s="46"/>
    </row>
    <row r="22" spans="1:10" s="17" customFormat="1" ht="18" x14ac:dyDescent="0.25">
      <c r="A22" s="105" t="s">
        <v>72</v>
      </c>
      <c r="B22" s="106"/>
      <c r="C22" s="106"/>
      <c r="D22" s="106"/>
      <c r="E22" s="106"/>
      <c r="F22" s="63"/>
      <c r="G22" s="63"/>
      <c r="H22" s="107">
        <v>1750000</v>
      </c>
      <c r="I22" s="108"/>
      <c r="J22" s="46"/>
    </row>
    <row r="23" spans="1:10" s="17" customFormat="1" ht="18" x14ac:dyDescent="0.25">
      <c r="A23" s="105" t="s">
        <v>78</v>
      </c>
      <c r="B23" s="106"/>
      <c r="C23" s="106"/>
      <c r="D23" s="106"/>
      <c r="E23" s="106"/>
      <c r="F23" s="5">
        <v>0.06</v>
      </c>
      <c r="G23" s="63"/>
      <c r="H23" s="137">
        <f>+ROUND(F23*H20,0)</f>
        <v>105000</v>
      </c>
      <c r="I23" s="138"/>
      <c r="J23" s="46"/>
    </row>
    <row r="24" spans="1:10" s="17" customFormat="1" ht="18" x14ac:dyDescent="0.25">
      <c r="A24" s="105" t="s">
        <v>36</v>
      </c>
      <c r="B24" s="106"/>
      <c r="C24" s="106"/>
      <c r="D24" s="106"/>
      <c r="E24" s="106"/>
      <c r="F24" s="5"/>
      <c r="G24" s="63"/>
      <c r="H24" s="107"/>
      <c r="I24" s="108"/>
      <c r="J24" s="46"/>
    </row>
    <row r="25" spans="1:10" s="17" customFormat="1" ht="18" x14ac:dyDescent="0.25">
      <c r="A25" s="105" t="s">
        <v>69</v>
      </c>
      <c r="B25" s="106"/>
      <c r="C25" s="106"/>
      <c r="D25" s="106"/>
      <c r="E25" s="106"/>
      <c r="F25" s="106"/>
      <c r="G25" s="112"/>
      <c r="H25" s="113">
        <f>+'RESUMEN de PAGOS'!L8</f>
        <v>0</v>
      </c>
      <c r="I25" s="114"/>
      <c r="J25" s="46"/>
    </row>
    <row r="26" spans="1:10" s="17" customFormat="1" ht="18" x14ac:dyDescent="0.25">
      <c r="A26" s="105" t="s">
        <v>70</v>
      </c>
      <c r="B26" s="106"/>
      <c r="C26" s="106"/>
      <c r="D26" s="106"/>
      <c r="E26" s="106"/>
      <c r="F26" s="106"/>
      <c r="G26" s="112"/>
      <c r="H26" s="113">
        <f>+H23</f>
        <v>105000</v>
      </c>
      <c r="I26" s="114"/>
      <c r="J26" s="46"/>
    </row>
    <row r="27" spans="1:10" s="17" customFormat="1" ht="18" x14ac:dyDescent="0.25">
      <c r="A27" s="105" t="s">
        <v>71</v>
      </c>
      <c r="B27" s="106"/>
      <c r="C27" s="106"/>
      <c r="D27" s="106"/>
      <c r="E27" s="106"/>
      <c r="F27" s="7"/>
      <c r="G27" s="7"/>
      <c r="H27" s="139">
        <f>+H22-H23-H24+H25+H26</f>
        <v>1750000</v>
      </c>
      <c r="I27" s="140"/>
      <c r="J27" s="46"/>
    </row>
    <row r="28" spans="1:10" s="17" customFormat="1" ht="21.95" customHeight="1" x14ac:dyDescent="0.2">
      <c r="A28" s="141" t="s">
        <v>21</v>
      </c>
      <c r="B28" s="142"/>
      <c r="C28" s="142"/>
      <c r="D28" s="142"/>
      <c r="E28" s="142"/>
      <c r="F28" s="142"/>
      <c r="G28" s="142"/>
      <c r="H28" s="142"/>
      <c r="I28" s="142"/>
      <c r="J28" s="143"/>
    </row>
    <row r="29" spans="1:10" s="17" customFormat="1" ht="24.75" customHeight="1" x14ac:dyDescent="0.2">
      <c r="A29" s="65" t="s">
        <v>41</v>
      </c>
      <c r="B29" s="169"/>
      <c r="C29" s="169"/>
      <c r="D29" s="64" t="s">
        <v>39</v>
      </c>
      <c r="E29" s="111"/>
      <c r="F29" s="111"/>
      <c r="G29" s="110" t="s">
        <v>40</v>
      </c>
      <c r="H29" s="110"/>
      <c r="I29" s="3" t="s">
        <v>44</v>
      </c>
      <c r="J29" s="46"/>
    </row>
    <row r="30" spans="1:10" s="17" customFormat="1" ht="33" customHeight="1" x14ac:dyDescent="0.2">
      <c r="A30" s="132" t="s">
        <v>22</v>
      </c>
      <c r="B30" s="133"/>
      <c r="C30" s="133"/>
      <c r="D30" s="133"/>
      <c r="E30" s="133"/>
      <c r="F30" s="133"/>
      <c r="G30" s="133"/>
      <c r="H30" s="133"/>
      <c r="I30" s="133"/>
      <c r="J30" s="46"/>
    </row>
    <row r="31" spans="1:10" s="17" customFormat="1" ht="14.25" x14ac:dyDescent="0.2">
      <c r="A31" s="45"/>
      <c r="B31" s="12"/>
      <c r="C31" s="8"/>
      <c r="D31" s="8"/>
      <c r="E31" s="8"/>
      <c r="F31" s="119"/>
      <c r="G31" s="119"/>
      <c r="H31" s="128"/>
      <c r="I31" s="128"/>
      <c r="J31" s="46"/>
    </row>
    <row r="32" spans="1:10" s="17" customFormat="1" ht="24.75" x14ac:dyDescent="0.5">
      <c r="A32" s="134" t="s">
        <v>34</v>
      </c>
      <c r="B32" s="135"/>
      <c r="C32" s="135"/>
      <c r="D32" s="135"/>
      <c r="E32" s="135"/>
      <c r="F32" s="135"/>
      <c r="G32" s="135"/>
      <c r="H32" s="135"/>
      <c r="I32" s="135"/>
      <c r="J32" s="136"/>
    </row>
    <row r="33" spans="1:14" s="17" customFormat="1" ht="15" customHeight="1" x14ac:dyDescent="0.5">
      <c r="A33" s="68"/>
      <c r="B33" s="69"/>
      <c r="C33" s="69"/>
      <c r="D33" s="69"/>
      <c r="E33" s="69"/>
      <c r="F33" s="69"/>
      <c r="G33" s="69"/>
      <c r="H33" s="69"/>
      <c r="I33" s="69"/>
      <c r="J33" s="70"/>
      <c r="N33" s="24"/>
    </row>
    <row r="34" spans="1:14" s="17" customFormat="1" ht="16.5" customHeight="1" x14ac:dyDescent="0.5">
      <c r="A34" s="68"/>
      <c r="B34" s="69"/>
      <c r="C34" s="25"/>
      <c r="D34" s="25"/>
      <c r="E34" s="25"/>
      <c r="F34" s="25"/>
      <c r="G34" s="69"/>
      <c r="H34" s="69"/>
      <c r="I34" s="69"/>
      <c r="J34" s="70"/>
    </row>
    <row r="35" spans="1:14" s="17" customFormat="1" ht="18" customHeight="1" x14ac:dyDescent="0.25">
      <c r="A35" s="116" t="s">
        <v>23</v>
      </c>
      <c r="B35" s="117"/>
      <c r="C35" s="117"/>
      <c r="D35" s="117"/>
      <c r="E35" s="117"/>
      <c r="F35" s="117"/>
      <c r="G35" s="117"/>
      <c r="H35" s="117"/>
      <c r="I35" s="117"/>
      <c r="J35" s="118"/>
    </row>
    <row r="36" spans="1:14" s="17" customFormat="1" ht="18" customHeight="1" x14ac:dyDescent="0.25">
      <c r="A36" s="116" t="s">
        <v>24</v>
      </c>
      <c r="B36" s="117"/>
      <c r="C36" s="117"/>
      <c r="D36" s="117"/>
      <c r="E36" s="117"/>
      <c r="F36" s="117"/>
      <c r="G36" s="117"/>
      <c r="H36" s="117"/>
      <c r="I36" s="117"/>
      <c r="J36" s="118"/>
    </row>
    <row r="37" spans="1:14" s="17" customFormat="1" ht="18" customHeight="1" x14ac:dyDescent="0.25">
      <c r="A37" s="116" t="s">
        <v>25</v>
      </c>
      <c r="B37" s="117"/>
      <c r="C37" s="117"/>
      <c r="D37" s="117"/>
      <c r="E37" s="117"/>
      <c r="F37" s="117"/>
      <c r="G37" s="117"/>
      <c r="H37" s="117"/>
      <c r="I37" s="117"/>
      <c r="J37" s="118"/>
    </row>
    <row r="38" spans="1:14" s="17" customFormat="1" ht="15" thickBot="1" x14ac:dyDescent="0.25">
      <c r="A38" s="54"/>
      <c r="B38" s="55"/>
      <c r="C38" s="55"/>
      <c r="D38" s="55"/>
      <c r="E38" s="55"/>
      <c r="F38" s="55"/>
      <c r="G38" s="55"/>
      <c r="H38" s="55"/>
      <c r="I38" s="55"/>
      <c r="J38" s="56"/>
    </row>
    <row r="39" spans="1:14" s="17" customFormat="1" ht="15" thickTop="1" x14ac:dyDescent="0.2">
      <c r="A39" s="62"/>
      <c r="B39" s="8"/>
      <c r="C39" s="8"/>
      <c r="D39" s="8"/>
      <c r="E39" s="8"/>
      <c r="F39" s="8"/>
      <c r="G39" s="8"/>
      <c r="H39" s="8"/>
      <c r="I39" s="8"/>
      <c r="J39" s="8"/>
    </row>
    <row r="40" spans="1:14" x14ac:dyDescent="0.2">
      <c r="J40" s="29"/>
    </row>
    <row r="41" spans="1:14" ht="12.75" hidden="1" customHeight="1" x14ac:dyDescent="0.2"/>
    <row r="42" spans="1:14" ht="30" hidden="1" customHeight="1" x14ac:dyDescent="0.4">
      <c r="A42" s="30" t="s">
        <v>2</v>
      </c>
      <c r="B42" s="31"/>
      <c r="D42" s="71" t="s">
        <v>8</v>
      </c>
      <c r="E42" s="33">
        <f ca="1">TODAY()</f>
        <v>45516</v>
      </c>
      <c r="F42" s="121" t="s">
        <v>0</v>
      </c>
      <c r="G42" s="121"/>
      <c r="H42" s="34"/>
      <c r="I42" s="34"/>
      <c r="J42" s="13"/>
    </row>
    <row r="43" spans="1:14" s="17" customFormat="1" ht="14.25" hidden="1" customHeight="1" x14ac:dyDescent="0.2">
      <c r="A43" s="15"/>
      <c r="B43" s="8"/>
      <c r="C43" s="8"/>
      <c r="D43" s="8"/>
      <c r="E43" s="8"/>
      <c r="F43" s="8"/>
      <c r="G43" s="8"/>
      <c r="H43" s="8"/>
      <c r="I43" s="8"/>
      <c r="J43" s="16"/>
    </row>
    <row r="44" spans="1:14" s="17" customFormat="1" ht="21.95" hidden="1" customHeight="1" x14ac:dyDescent="0.25">
      <c r="A44" s="6" t="s">
        <v>4</v>
      </c>
      <c r="B44" s="122" t="s">
        <v>5</v>
      </c>
      <c r="C44" s="122"/>
      <c r="D44" s="122"/>
      <c r="E44" s="122"/>
      <c r="F44" s="123" t="s">
        <v>3</v>
      </c>
      <c r="G44" s="124"/>
      <c r="H44" s="125">
        <v>9500</v>
      </c>
      <c r="I44" s="126"/>
      <c r="J44" s="19"/>
    </row>
    <row r="45" spans="1:14" s="17" customFormat="1" ht="21.95" hidden="1" customHeight="1" x14ac:dyDescent="0.25">
      <c r="A45" s="20" t="s">
        <v>3</v>
      </c>
      <c r="B45" s="127" t="str">
        <f>PESOSMN(H44)</f>
        <v>Nueve Mil Quinientos Pesos 00/100</v>
      </c>
      <c r="C45" s="127"/>
      <c r="D45" s="127"/>
      <c r="E45" s="127"/>
      <c r="F45" s="127"/>
      <c r="G45" s="127"/>
      <c r="H45" s="127"/>
      <c r="I45" s="7"/>
      <c r="J45" s="21"/>
    </row>
    <row r="46" spans="1:14" s="17" customFormat="1" ht="14.25" hidden="1" customHeight="1" x14ac:dyDescent="0.2">
      <c r="A46" s="15"/>
      <c r="B46" s="8"/>
      <c r="C46" s="8"/>
      <c r="D46" s="8"/>
      <c r="E46" s="8"/>
      <c r="F46" s="8"/>
      <c r="G46" s="8"/>
      <c r="H46" s="8"/>
      <c r="I46" s="8"/>
      <c r="J46" s="16"/>
    </row>
    <row r="47" spans="1:14" s="17" customFormat="1" ht="15" hidden="1" customHeight="1" x14ac:dyDescent="0.25">
      <c r="A47" s="6" t="s">
        <v>6</v>
      </c>
      <c r="B47" s="122" t="s">
        <v>7</v>
      </c>
      <c r="C47" s="122"/>
      <c r="D47" s="122"/>
      <c r="E47" s="122"/>
      <c r="F47" s="122"/>
      <c r="G47" s="122"/>
      <c r="H47" s="122"/>
      <c r="I47" s="8"/>
      <c r="J47" s="16"/>
    </row>
    <row r="48" spans="1:14" s="17" customFormat="1" ht="21.95" hidden="1" customHeight="1" x14ac:dyDescent="0.2">
      <c r="A48" s="35"/>
      <c r="B48" s="36"/>
      <c r="C48" s="37"/>
      <c r="D48" s="36"/>
      <c r="E48" s="8"/>
      <c r="F48" s="67" t="s">
        <v>9</v>
      </c>
      <c r="G48" s="10" t="s">
        <v>17</v>
      </c>
      <c r="H48" s="11" t="s">
        <v>10</v>
      </c>
      <c r="I48" s="12"/>
      <c r="J48" s="16"/>
    </row>
    <row r="49" spans="1:10" s="17" customFormat="1" ht="14.25" hidden="1" customHeight="1" x14ac:dyDescent="0.2">
      <c r="A49" s="15"/>
      <c r="B49" s="8"/>
      <c r="C49" s="8"/>
      <c r="D49" s="8"/>
      <c r="E49" s="8"/>
      <c r="F49" s="8"/>
      <c r="G49" s="10" t="s">
        <v>18</v>
      </c>
      <c r="H49" s="11" t="s">
        <v>11</v>
      </c>
      <c r="I49" s="39"/>
      <c r="J49" s="16"/>
    </row>
    <row r="50" spans="1:10" s="17" customFormat="1" ht="15" hidden="1" customHeight="1" x14ac:dyDescent="0.25">
      <c r="A50" s="6" t="s">
        <v>13</v>
      </c>
      <c r="B50" s="122"/>
      <c r="C50" s="122"/>
      <c r="D50" s="122"/>
      <c r="E50" s="8"/>
      <c r="F50" s="9" t="s">
        <v>1</v>
      </c>
      <c r="G50" s="10" t="s">
        <v>18</v>
      </c>
      <c r="H50" s="11" t="s">
        <v>12</v>
      </c>
      <c r="I50" s="12"/>
      <c r="J50" s="16"/>
    </row>
    <row r="51" spans="1:10" s="17" customFormat="1" ht="14.25" hidden="1" customHeight="1" x14ac:dyDescent="0.2">
      <c r="A51" s="15"/>
      <c r="B51" s="12" t="s">
        <v>14</v>
      </c>
      <c r="C51" s="8"/>
      <c r="D51" s="8"/>
      <c r="E51" s="8"/>
      <c r="F51" s="8"/>
      <c r="G51" s="8"/>
      <c r="H51" s="8"/>
      <c r="I51" s="8"/>
      <c r="J51" s="16"/>
    </row>
    <row r="52" spans="1:10" s="17" customFormat="1" ht="14.25" hidden="1" customHeight="1" x14ac:dyDescent="0.2">
      <c r="A52" s="15"/>
      <c r="B52" s="12" t="s">
        <v>15</v>
      </c>
      <c r="C52" s="8"/>
      <c r="D52" s="8"/>
      <c r="E52" s="8"/>
      <c r="F52" s="119"/>
      <c r="G52" s="119"/>
      <c r="H52" s="128"/>
      <c r="I52" s="128"/>
      <c r="J52" s="16"/>
    </row>
    <row r="53" spans="1:10" s="17" customFormat="1" ht="14.25" hidden="1" customHeight="1" x14ac:dyDescent="0.2">
      <c r="A53" s="40"/>
      <c r="B53" s="12" t="s">
        <v>16</v>
      </c>
      <c r="C53" s="8"/>
      <c r="D53" s="8"/>
      <c r="E53" s="8"/>
      <c r="F53" s="119"/>
      <c r="G53" s="119"/>
      <c r="H53" s="128"/>
      <c r="I53" s="128"/>
      <c r="J53" s="16"/>
    </row>
    <row r="54" spans="1:10" s="17" customFormat="1" ht="14.25" hidden="1" customHeight="1" x14ac:dyDescent="0.2">
      <c r="E54" s="8"/>
      <c r="F54" s="119"/>
      <c r="G54" s="119"/>
      <c r="H54" s="120"/>
      <c r="I54" s="120"/>
      <c r="J54" s="16"/>
    </row>
    <row r="55" spans="1:10" s="17" customFormat="1" ht="14.25" hidden="1" customHeight="1" x14ac:dyDescent="0.2">
      <c r="A55" s="26"/>
      <c r="B55" s="27"/>
      <c r="C55" s="27"/>
      <c r="D55" s="27"/>
      <c r="E55" s="27"/>
      <c r="F55" s="27"/>
      <c r="G55" s="27"/>
      <c r="H55" s="27"/>
      <c r="I55" s="27"/>
      <c r="J55" s="28"/>
    </row>
    <row r="56" spans="1:10" ht="12.75" hidden="1" customHeight="1" x14ac:dyDescent="0.2"/>
    <row r="57" spans="1:10" ht="12.75" hidden="1" customHeight="1" x14ac:dyDescent="0.2"/>
    <row r="58" spans="1:10" ht="30" hidden="1" customHeight="1" x14ac:dyDescent="0.4">
      <c r="A58" s="30" t="s">
        <v>2</v>
      </c>
      <c r="B58" s="31"/>
      <c r="D58" s="71" t="s">
        <v>8</v>
      </c>
      <c r="E58" s="33">
        <f ca="1">TODAY()</f>
        <v>45516</v>
      </c>
      <c r="F58" s="121" t="s">
        <v>0</v>
      </c>
      <c r="G58" s="121"/>
      <c r="H58" s="34"/>
      <c r="I58" s="34"/>
      <c r="J58" s="13"/>
    </row>
    <row r="59" spans="1:10" s="17" customFormat="1" ht="14.25" hidden="1" customHeight="1" x14ac:dyDescent="0.2">
      <c r="A59" s="15"/>
      <c r="B59" s="8"/>
      <c r="C59" s="8"/>
      <c r="D59" s="8"/>
      <c r="E59" s="8"/>
      <c r="F59" s="8"/>
      <c r="G59" s="8"/>
      <c r="H59" s="8"/>
      <c r="I59" s="8"/>
      <c r="J59" s="16"/>
    </row>
    <row r="60" spans="1:10" s="17" customFormat="1" ht="21.95" hidden="1" customHeight="1" x14ac:dyDescent="0.25">
      <c r="A60" s="6" t="s">
        <v>4</v>
      </c>
      <c r="B60" s="122" t="s">
        <v>5</v>
      </c>
      <c r="C60" s="122"/>
      <c r="D60" s="122"/>
      <c r="E60" s="122"/>
      <c r="F60" s="123" t="s">
        <v>3</v>
      </c>
      <c r="G60" s="124"/>
      <c r="H60" s="125">
        <v>60</v>
      </c>
      <c r="I60" s="126"/>
      <c r="J60" s="19"/>
    </row>
    <row r="61" spans="1:10" s="17" customFormat="1" ht="21.95" hidden="1" customHeight="1" x14ac:dyDescent="0.25">
      <c r="A61" s="20" t="s">
        <v>3</v>
      </c>
      <c r="B61" s="127" t="str">
        <f>PESOSMN(H60)</f>
        <v>Sesenta Pesos 00/100</v>
      </c>
      <c r="C61" s="127"/>
      <c r="D61" s="127"/>
      <c r="E61" s="127"/>
      <c r="F61" s="127"/>
      <c r="G61" s="127"/>
      <c r="H61" s="127"/>
      <c r="I61" s="7"/>
      <c r="J61" s="21"/>
    </row>
    <row r="62" spans="1:10" s="17" customFormat="1" ht="14.25" hidden="1" customHeight="1" x14ac:dyDescent="0.2">
      <c r="A62" s="15"/>
      <c r="B62" s="8"/>
      <c r="C62" s="8"/>
      <c r="D62" s="8"/>
      <c r="E62" s="8"/>
      <c r="F62" s="8"/>
      <c r="G62" s="8"/>
      <c r="H62" s="8"/>
      <c r="I62" s="8"/>
      <c r="J62" s="16"/>
    </row>
    <row r="63" spans="1:10" s="17" customFormat="1" ht="15" hidden="1" customHeight="1" x14ac:dyDescent="0.25">
      <c r="A63" s="6" t="s">
        <v>6</v>
      </c>
      <c r="B63" s="122" t="s">
        <v>7</v>
      </c>
      <c r="C63" s="122"/>
      <c r="D63" s="122"/>
      <c r="E63" s="122"/>
      <c r="F63" s="122"/>
      <c r="G63" s="122"/>
      <c r="H63" s="122"/>
      <c r="I63" s="8"/>
      <c r="J63" s="16"/>
    </row>
    <row r="64" spans="1:10" s="17" customFormat="1" ht="21.95" hidden="1" customHeight="1" x14ac:dyDescent="0.2">
      <c r="A64" s="35"/>
      <c r="B64" s="36"/>
      <c r="C64" s="37"/>
      <c r="D64" s="36"/>
      <c r="E64" s="8"/>
      <c r="F64" s="67" t="s">
        <v>9</v>
      </c>
      <c r="G64" s="10" t="s">
        <v>17</v>
      </c>
      <c r="H64" s="11" t="s">
        <v>10</v>
      </c>
      <c r="I64" s="12"/>
      <c r="J64" s="16"/>
    </row>
    <row r="65" spans="1:10" s="17" customFormat="1" ht="14.25" hidden="1" customHeight="1" x14ac:dyDescent="0.2">
      <c r="A65" s="15"/>
      <c r="B65" s="8"/>
      <c r="C65" s="8"/>
      <c r="D65" s="8"/>
      <c r="E65" s="8"/>
      <c r="F65" s="8"/>
      <c r="G65" s="10" t="s">
        <v>18</v>
      </c>
      <c r="H65" s="11" t="s">
        <v>11</v>
      </c>
      <c r="I65" s="39"/>
      <c r="J65" s="16"/>
    </row>
    <row r="66" spans="1:10" s="17" customFormat="1" ht="15" hidden="1" customHeight="1" x14ac:dyDescent="0.25">
      <c r="A66" s="6" t="s">
        <v>13</v>
      </c>
      <c r="B66" s="122"/>
      <c r="C66" s="122"/>
      <c r="D66" s="122"/>
      <c r="E66" s="8"/>
      <c r="F66" s="9" t="s">
        <v>1</v>
      </c>
      <c r="G66" s="10" t="s">
        <v>18</v>
      </c>
      <c r="H66" s="11" t="s">
        <v>12</v>
      </c>
      <c r="I66" s="12"/>
      <c r="J66" s="16"/>
    </row>
    <row r="67" spans="1:10" s="17" customFormat="1" ht="14.25" hidden="1" customHeight="1" x14ac:dyDescent="0.2">
      <c r="A67" s="15"/>
      <c r="B67" s="12" t="s">
        <v>14</v>
      </c>
      <c r="C67" s="8"/>
      <c r="D67" s="8"/>
      <c r="E67" s="8"/>
      <c r="F67" s="8"/>
      <c r="G67" s="8"/>
      <c r="H67" s="8"/>
      <c r="I67" s="8"/>
      <c r="J67" s="16"/>
    </row>
    <row r="68" spans="1:10" s="17" customFormat="1" ht="14.25" hidden="1" customHeight="1" x14ac:dyDescent="0.2">
      <c r="A68" s="15"/>
      <c r="B68" s="12" t="s">
        <v>15</v>
      </c>
      <c r="C68" s="8"/>
      <c r="D68" s="8"/>
      <c r="E68" s="8"/>
      <c r="F68" s="119"/>
      <c r="G68" s="119"/>
      <c r="H68" s="128"/>
      <c r="I68" s="128"/>
      <c r="J68" s="16"/>
    </row>
    <row r="69" spans="1:10" s="17" customFormat="1" ht="14.25" hidden="1" customHeight="1" x14ac:dyDescent="0.2">
      <c r="A69" s="40"/>
      <c r="B69" s="12" t="s">
        <v>16</v>
      </c>
      <c r="C69" s="8"/>
      <c r="D69" s="8"/>
      <c r="E69" s="8"/>
      <c r="F69" s="119"/>
      <c r="G69" s="119"/>
      <c r="H69" s="128"/>
      <c r="I69" s="128"/>
      <c r="J69" s="16"/>
    </row>
    <row r="70" spans="1:10" s="17" customFormat="1" ht="14.25" hidden="1" customHeight="1" x14ac:dyDescent="0.2">
      <c r="E70" s="8"/>
      <c r="F70" s="119"/>
      <c r="G70" s="119"/>
      <c r="H70" s="120"/>
      <c r="I70" s="120"/>
      <c r="J70" s="16"/>
    </row>
    <row r="71" spans="1:10" s="17" customFormat="1" ht="14.25" hidden="1" customHeight="1" x14ac:dyDescent="0.2">
      <c r="A71" s="26"/>
      <c r="B71" s="27"/>
      <c r="C71" s="27"/>
      <c r="D71" s="27"/>
      <c r="E71" s="27"/>
      <c r="F71" s="27"/>
      <c r="G71" s="27"/>
      <c r="H71" s="27"/>
      <c r="I71" s="27"/>
      <c r="J71" s="28"/>
    </row>
    <row r="72" spans="1:10" ht="12.75" hidden="1" customHeight="1" x14ac:dyDescent="0.2"/>
    <row r="73" spans="1:10" ht="12.75" hidden="1" customHeight="1" x14ac:dyDescent="0.2"/>
    <row r="74" spans="1:10" ht="12.75" hidden="1" customHeight="1" x14ac:dyDescent="0.2"/>
    <row r="75" spans="1:10" ht="12.75" hidden="1" customHeight="1" x14ac:dyDescent="0.2"/>
    <row r="76" spans="1:10" ht="12.75" hidden="1" customHeight="1" x14ac:dyDescent="0.2"/>
    <row r="77" spans="1:10" ht="12.75" hidden="1" customHeight="1" x14ac:dyDescent="0.2"/>
    <row r="78" spans="1:10" ht="12.75" hidden="1" customHeight="1" x14ac:dyDescent="0.2"/>
    <row r="79" spans="1:10" ht="12.75" hidden="1" customHeight="1" x14ac:dyDescent="0.2"/>
    <row r="80" spans="1:10" ht="12.75" hidden="1" customHeight="1" x14ac:dyDescent="0.2"/>
    <row r="81" ht="12.75" hidden="1" customHeight="1" x14ac:dyDescent="0.2"/>
    <row r="82" ht="12.75" hidden="1" customHeight="1" x14ac:dyDescent="0.2"/>
    <row r="83" ht="12.75" hidden="1" customHeight="1" x14ac:dyDescent="0.2"/>
    <row r="84" ht="12.75" hidden="1" customHeight="1" x14ac:dyDescent="0.2"/>
    <row r="85" ht="12.75" hidden="1" customHeight="1" x14ac:dyDescent="0.2"/>
    <row r="86" ht="12.75" hidden="1" customHeight="1" x14ac:dyDescent="0.2"/>
    <row r="87" ht="12.75" hidden="1" customHeight="1" x14ac:dyDescent="0.2"/>
    <row r="88" ht="12.75" hidden="1" customHeight="1" x14ac:dyDescent="0.2"/>
    <row r="89" ht="12.75" hidden="1" customHeight="1" x14ac:dyDescent="0.2"/>
    <row r="90" ht="12.75" hidden="1" customHeight="1" x14ac:dyDescent="0.2"/>
    <row r="91" ht="12.75" hidden="1" customHeight="1" x14ac:dyDescent="0.2"/>
    <row r="92" ht="12.75" hidden="1" customHeight="1" x14ac:dyDescent="0.2"/>
    <row r="93" ht="12.75" hidden="1" customHeight="1" x14ac:dyDescent="0.2"/>
    <row r="94" ht="12.75" hidden="1" customHeight="1" x14ac:dyDescent="0.2"/>
    <row r="95" ht="12.75" hidden="1" customHeight="1" x14ac:dyDescent="0.2"/>
    <row r="96" ht="12.75" hidden="1" customHeight="1" x14ac:dyDescent="0.2"/>
    <row r="97" ht="12.75" hidden="1" customHeight="1" x14ac:dyDescent="0.2"/>
    <row r="98" ht="12.75" hidden="1" customHeight="1" x14ac:dyDescent="0.2"/>
    <row r="99" ht="12.75" hidden="1" customHeight="1" x14ac:dyDescent="0.2"/>
    <row r="100" ht="12.75" hidden="1" customHeight="1" x14ac:dyDescent="0.2"/>
    <row r="101" ht="12.75" hidden="1" customHeight="1" x14ac:dyDescent="0.2"/>
    <row r="102" ht="12.75" hidden="1" customHeight="1" x14ac:dyDescent="0.2"/>
    <row r="103" ht="12.75" hidden="1" customHeight="1" x14ac:dyDescent="0.2"/>
    <row r="104" ht="12.75" hidden="1" customHeight="1" x14ac:dyDescent="0.2"/>
    <row r="105" ht="12.75" hidden="1" customHeight="1" x14ac:dyDescent="0.2"/>
    <row r="106" ht="12.75" hidden="1" customHeight="1" x14ac:dyDescent="0.2"/>
    <row r="107" ht="12.75" hidden="1" customHeight="1" x14ac:dyDescent="0.2"/>
    <row r="108" ht="12.75" hidden="1" customHeight="1" x14ac:dyDescent="0.2"/>
    <row r="109" ht="12.75" hidden="1" customHeight="1" x14ac:dyDescent="0.2"/>
    <row r="110" ht="12.75" hidden="1" customHeight="1" x14ac:dyDescent="0.2"/>
    <row r="111" ht="12.75" hidden="1" customHeight="1" x14ac:dyDescent="0.2"/>
    <row r="112" ht="12.75" hidden="1" customHeight="1" x14ac:dyDescent="0.2"/>
    <row r="113" ht="12.75" hidden="1" customHeight="1" x14ac:dyDescent="0.2"/>
    <row r="114" ht="12.75" hidden="1" customHeight="1" x14ac:dyDescent="0.2"/>
    <row r="115" ht="12.75" hidden="1" customHeight="1" x14ac:dyDescent="0.2"/>
    <row r="116" ht="12.75" hidden="1" customHeight="1" x14ac:dyDescent="0.2"/>
    <row r="117" ht="12.75" hidden="1" customHeight="1" x14ac:dyDescent="0.2"/>
    <row r="118" ht="12.75" hidden="1" customHeight="1" x14ac:dyDescent="0.2"/>
    <row r="119" ht="12.75" hidden="1" customHeight="1" x14ac:dyDescent="0.2"/>
    <row r="120" ht="12.75" hidden="1" customHeight="1" x14ac:dyDescent="0.2"/>
    <row r="121" ht="12.75" hidden="1" customHeight="1" x14ac:dyDescent="0.2"/>
    <row r="122" ht="12.75" hidden="1" customHeight="1" x14ac:dyDescent="0.2"/>
    <row r="123" ht="12.75" hidden="1" customHeight="1" x14ac:dyDescent="0.2"/>
    <row r="124" ht="12.75" hidden="1" customHeight="1" x14ac:dyDescent="0.2"/>
    <row r="125" ht="12.75" hidden="1" customHeight="1" x14ac:dyDescent="0.2"/>
    <row r="126" ht="12.75" hidden="1" customHeight="1" x14ac:dyDescent="0.2"/>
    <row r="127" ht="12.75" hidden="1" customHeight="1" x14ac:dyDescent="0.2"/>
    <row r="128" ht="12.75" hidden="1" customHeight="1" x14ac:dyDescent="0.2"/>
    <row r="129" ht="12.75" hidden="1" customHeight="1" x14ac:dyDescent="0.2"/>
    <row r="130" ht="12.75" hidden="1" customHeight="1" x14ac:dyDescent="0.2"/>
    <row r="131" ht="12.75" hidden="1" customHeight="1" x14ac:dyDescent="0.2"/>
    <row r="132" ht="12.75" hidden="1" customHeight="1" x14ac:dyDescent="0.2"/>
    <row r="133" ht="12.75" hidden="1" customHeight="1" x14ac:dyDescent="0.2"/>
    <row r="134" ht="12.75" hidden="1" customHeight="1" x14ac:dyDescent="0.2"/>
    <row r="135" ht="12.75" hidden="1" customHeight="1" x14ac:dyDescent="0.2"/>
    <row r="136" ht="12.75" hidden="1" customHeight="1" x14ac:dyDescent="0.2"/>
    <row r="137" ht="12.75" hidden="1" customHeight="1" x14ac:dyDescent="0.2"/>
    <row r="138" ht="12.75" hidden="1" customHeight="1" x14ac:dyDescent="0.2"/>
    <row r="139" ht="12.75" hidden="1" customHeight="1" x14ac:dyDescent="0.2"/>
    <row r="140" ht="12.75" hidden="1" customHeight="1" x14ac:dyDescent="0.2"/>
    <row r="141" ht="12.75" hidden="1" customHeight="1" x14ac:dyDescent="0.2"/>
    <row r="142" ht="12.75" hidden="1" customHeight="1" x14ac:dyDescent="0.2"/>
    <row r="143" ht="12.75" hidden="1" customHeight="1" x14ac:dyDescent="0.2"/>
    <row r="144" ht="12.75" hidden="1" customHeight="1" x14ac:dyDescent="0.2"/>
    <row r="145" ht="12.75" hidden="1" customHeight="1" x14ac:dyDescent="0.2"/>
    <row r="146" ht="12.75" hidden="1" customHeight="1" x14ac:dyDescent="0.2"/>
    <row r="147" ht="12.75" hidden="1" customHeight="1" x14ac:dyDescent="0.2"/>
    <row r="148" ht="12.75" hidden="1" customHeight="1" x14ac:dyDescent="0.2"/>
    <row r="149" ht="12.75" hidden="1" customHeight="1" x14ac:dyDescent="0.2"/>
    <row r="150" ht="12.75" hidden="1" customHeight="1" x14ac:dyDescent="0.2"/>
    <row r="151" ht="12.75" hidden="1" customHeight="1" x14ac:dyDescent="0.2"/>
    <row r="152" ht="12.75" hidden="1" customHeight="1" x14ac:dyDescent="0.2"/>
    <row r="153" ht="12.75" hidden="1" customHeight="1" x14ac:dyDescent="0.2"/>
    <row r="154" ht="12.75" hidden="1" customHeight="1" x14ac:dyDescent="0.2"/>
    <row r="155" ht="12.75" hidden="1" customHeight="1" x14ac:dyDescent="0.2"/>
    <row r="156" ht="12.75" hidden="1" customHeight="1" x14ac:dyDescent="0.2"/>
    <row r="157" ht="12.75" hidden="1" customHeight="1" x14ac:dyDescent="0.2"/>
    <row r="158" ht="12.75" hidden="1" customHeight="1" x14ac:dyDescent="0.2"/>
    <row r="159" ht="12.75" hidden="1" customHeight="1" x14ac:dyDescent="0.2"/>
    <row r="160" ht="12.75" hidden="1" customHeight="1" x14ac:dyDescent="0.2"/>
    <row r="161" ht="12.75" hidden="1" customHeight="1" x14ac:dyDescent="0.2"/>
    <row r="162" ht="12.75" hidden="1" customHeight="1" x14ac:dyDescent="0.2"/>
    <row r="163" ht="12.75" hidden="1" customHeight="1" x14ac:dyDescent="0.2"/>
    <row r="164" ht="12.75" hidden="1" customHeight="1" x14ac:dyDescent="0.2"/>
    <row r="165" ht="12.75" hidden="1" customHeight="1" x14ac:dyDescent="0.2"/>
    <row r="166" ht="12.75" hidden="1" customHeight="1" x14ac:dyDescent="0.2"/>
    <row r="167" ht="12.75" hidden="1" customHeight="1" x14ac:dyDescent="0.2"/>
    <row r="168" ht="12.75" hidden="1" customHeight="1" x14ac:dyDescent="0.2"/>
    <row r="169" ht="12.75" hidden="1" customHeight="1" x14ac:dyDescent="0.2"/>
    <row r="170" ht="12.75" hidden="1" customHeight="1" x14ac:dyDescent="0.2"/>
    <row r="171" ht="12.75" hidden="1" customHeight="1" x14ac:dyDescent="0.2"/>
    <row r="172" ht="12.75" hidden="1" customHeight="1" x14ac:dyDescent="0.2"/>
    <row r="173" ht="12.75" hidden="1" customHeight="1" x14ac:dyDescent="0.2"/>
    <row r="174" ht="12.75" hidden="1" customHeight="1" x14ac:dyDescent="0.2"/>
    <row r="175" ht="12.75" hidden="1" customHeight="1" x14ac:dyDescent="0.2"/>
    <row r="176" ht="12.75" hidden="1" customHeight="1" x14ac:dyDescent="0.2"/>
    <row r="177" ht="12.75" hidden="1" customHeight="1" x14ac:dyDescent="0.2"/>
    <row r="178" ht="12.75" hidden="1" customHeight="1" x14ac:dyDescent="0.2"/>
    <row r="179" ht="12.75" hidden="1" customHeight="1" x14ac:dyDescent="0.2"/>
    <row r="180" ht="12.75" hidden="1" customHeight="1" x14ac:dyDescent="0.2"/>
    <row r="181" ht="12.75" hidden="1" customHeight="1" x14ac:dyDescent="0.2"/>
    <row r="182" ht="12.75" hidden="1" customHeight="1" x14ac:dyDescent="0.2"/>
    <row r="183" ht="12.75" hidden="1" customHeight="1" x14ac:dyDescent="0.2"/>
    <row r="184" ht="12.75" hidden="1" customHeight="1" x14ac:dyDescent="0.2"/>
    <row r="185" ht="12.75" hidden="1" customHeight="1" x14ac:dyDescent="0.2"/>
    <row r="186" ht="12.75" hidden="1" customHeight="1" x14ac:dyDescent="0.2"/>
    <row r="187" ht="12.75" hidden="1" customHeight="1" x14ac:dyDescent="0.2"/>
    <row r="188" ht="12.75" hidden="1" customHeight="1" x14ac:dyDescent="0.2"/>
    <row r="189" ht="12.75" hidden="1" customHeight="1" x14ac:dyDescent="0.2"/>
    <row r="190" ht="12.75" hidden="1" customHeight="1" x14ac:dyDescent="0.2"/>
    <row r="191" ht="12.75" hidden="1" customHeight="1" x14ac:dyDescent="0.2"/>
    <row r="192" ht="12.75" hidden="1" customHeight="1" x14ac:dyDescent="0.2"/>
    <row r="193" ht="12.75" hidden="1" customHeight="1" x14ac:dyDescent="0.2"/>
    <row r="194" ht="12.75" hidden="1" customHeight="1" x14ac:dyDescent="0.2"/>
    <row r="195" ht="12.75" hidden="1" customHeight="1" x14ac:dyDescent="0.2"/>
    <row r="196" ht="12.75" hidden="1" customHeight="1" x14ac:dyDescent="0.2"/>
    <row r="197" ht="12.75" hidden="1" customHeight="1" x14ac:dyDescent="0.2"/>
    <row r="198" ht="12.75" hidden="1" customHeight="1" x14ac:dyDescent="0.2"/>
    <row r="199" ht="12.75" hidden="1" customHeight="1" x14ac:dyDescent="0.2"/>
    <row r="200" ht="12.75" hidden="1" customHeight="1" x14ac:dyDescent="0.2"/>
    <row r="201" ht="12.75" hidden="1" customHeight="1" x14ac:dyDescent="0.2"/>
    <row r="202" ht="12.75" hidden="1" customHeight="1" x14ac:dyDescent="0.2"/>
    <row r="203" ht="12.75" hidden="1" customHeight="1" x14ac:dyDescent="0.2"/>
    <row r="204" ht="12.75" hidden="1" customHeight="1" x14ac:dyDescent="0.2"/>
    <row r="205" ht="12.75" hidden="1" customHeight="1" x14ac:dyDescent="0.2"/>
    <row r="206" ht="12.75" hidden="1" customHeight="1" x14ac:dyDescent="0.2"/>
    <row r="207" ht="12.75" hidden="1" customHeight="1" x14ac:dyDescent="0.2"/>
    <row r="208" ht="12.75" hidden="1" customHeight="1" x14ac:dyDescent="0.2"/>
    <row r="209" spans="1:10" ht="12.75" hidden="1" customHeight="1" x14ac:dyDescent="0.2"/>
    <row r="210" spans="1:10" ht="12.75" hidden="1" customHeight="1" x14ac:dyDescent="0.2"/>
    <row r="211" spans="1:10" ht="12.75" hidden="1" customHeight="1" x14ac:dyDescent="0.2"/>
    <row r="212" spans="1:10" ht="12.75" hidden="1" customHeight="1" x14ac:dyDescent="0.2"/>
    <row r="213" spans="1:10" ht="12.75" hidden="1" customHeight="1" x14ac:dyDescent="0.2"/>
    <row r="214" spans="1:10" ht="12.75" hidden="1" customHeight="1" x14ac:dyDescent="0.2"/>
    <row r="215" spans="1:10" x14ac:dyDescent="0.2">
      <c r="A215" s="41"/>
      <c r="B215" s="58"/>
      <c r="C215" s="58"/>
      <c r="D215" s="58"/>
      <c r="E215" s="41"/>
      <c r="F215" s="41"/>
      <c r="G215" s="58"/>
      <c r="H215" s="58"/>
      <c r="I215" s="58"/>
      <c r="J215" s="41"/>
    </row>
    <row r="216" spans="1:10" x14ac:dyDescent="0.2">
      <c r="A216" s="41"/>
      <c r="B216" s="59"/>
      <c r="C216" s="41"/>
      <c r="D216" s="41"/>
      <c r="E216" s="41"/>
      <c r="F216" s="41"/>
      <c r="G216" s="60"/>
      <c r="H216" s="58"/>
      <c r="I216" s="58"/>
      <c r="J216" s="41"/>
    </row>
    <row r="217" spans="1:10" ht="15" x14ac:dyDescent="0.2">
      <c r="A217" s="41"/>
      <c r="B217" s="61"/>
      <c r="C217" s="41"/>
      <c r="D217" s="57" t="s">
        <v>31</v>
      </c>
      <c r="E217" s="57"/>
      <c r="F217" s="57"/>
      <c r="G217" s="57"/>
      <c r="H217" s="57"/>
      <c r="I217" s="57"/>
      <c r="J217" s="57"/>
    </row>
    <row r="218" spans="1:10" ht="17.25" customHeight="1" x14ac:dyDescent="0.2">
      <c r="A218" s="148" t="s">
        <v>32</v>
      </c>
      <c r="B218" s="149"/>
      <c r="C218" s="149"/>
      <c r="D218" s="149"/>
      <c r="E218" s="149"/>
      <c r="F218" s="149"/>
      <c r="G218" s="149"/>
      <c r="H218" s="149"/>
      <c r="I218" s="149"/>
      <c r="J218" s="149"/>
    </row>
    <row r="219" spans="1:10" ht="15" x14ac:dyDescent="0.2">
      <c r="A219" s="150" t="s">
        <v>33</v>
      </c>
      <c r="B219" s="150"/>
      <c r="C219" s="150"/>
      <c r="D219" s="150"/>
      <c r="E219" s="150"/>
      <c r="F219" s="150"/>
      <c r="G219" s="150"/>
      <c r="H219" s="150"/>
      <c r="I219" s="150"/>
      <c r="J219" s="150"/>
    </row>
  </sheetData>
  <mergeCells count="68">
    <mergeCell ref="F70:G70"/>
    <mergeCell ref="H70:I70"/>
    <mergeCell ref="A218:J218"/>
    <mergeCell ref="A219:J219"/>
    <mergeCell ref="G9:J9"/>
    <mergeCell ref="B61:H61"/>
    <mergeCell ref="B63:H63"/>
    <mergeCell ref="B66:D66"/>
    <mergeCell ref="F68:G68"/>
    <mergeCell ref="H68:I68"/>
    <mergeCell ref="F69:G69"/>
    <mergeCell ref="H69:I69"/>
    <mergeCell ref="F54:G54"/>
    <mergeCell ref="H54:I54"/>
    <mergeCell ref="F58:G58"/>
    <mergeCell ref="B60:E60"/>
    <mergeCell ref="F60:G60"/>
    <mergeCell ref="H60:I60"/>
    <mergeCell ref="B45:H45"/>
    <mergeCell ref="B47:H47"/>
    <mergeCell ref="B50:D50"/>
    <mergeCell ref="F52:G52"/>
    <mergeCell ref="H52:I52"/>
    <mergeCell ref="F53:G53"/>
    <mergeCell ref="H53:I53"/>
    <mergeCell ref="B44:E44"/>
    <mergeCell ref="F44:G44"/>
    <mergeCell ref="H44:I44"/>
    <mergeCell ref="A28:J28"/>
    <mergeCell ref="B29:C29"/>
    <mergeCell ref="E29:F29"/>
    <mergeCell ref="G29:H29"/>
    <mergeCell ref="A30:I30"/>
    <mergeCell ref="F31:G31"/>
    <mergeCell ref="H31:I31"/>
    <mergeCell ref="A32:J32"/>
    <mergeCell ref="A35:J35"/>
    <mergeCell ref="A36:J36"/>
    <mergeCell ref="A37:J37"/>
    <mergeCell ref="F42:G42"/>
    <mergeCell ref="A23:E23"/>
    <mergeCell ref="H23:I23"/>
    <mergeCell ref="A24:E24"/>
    <mergeCell ref="H24:I24"/>
    <mergeCell ref="A27:E27"/>
    <mergeCell ref="H27:I27"/>
    <mergeCell ref="A25:G25"/>
    <mergeCell ref="H25:I25"/>
    <mergeCell ref="A26:G26"/>
    <mergeCell ref="H26:I26"/>
    <mergeCell ref="A22:E22"/>
    <mergeCell ref="H22:I22"/>
    <mergeCell ref="B10:I10"/>
    <mergeCell ref="B12:E12"/>
    <mergeCell ref="F12:G12"/>
    <mergeCell ref="H12:I12"/>
    <mergeCell ref="B13:C13"/>
    <mergeCell ref="B14:I14"/>
    <mergeCell ref="B16:I18"/>
    <mergeCell ref="A20:F20"/>
    <mergeCell ref="H20:I20"/>
    <mergeCell ref="A21:E21"/>
    <mergeCell ref="H21:I21"/>
    <mergeCell ref="A3:J3"/>
    <mergeCell ref="A4:J4"/>
    <mergeCell ref="A5:J5"/>
    <mergeCell ref="A6:J6"/>
    <mergeCell ref="A7:J7"/>
  </mergeCells>
  <hyperlinks>
    <hyperlink ref="A218" r:id="rId1" display="mailto:asociacionindigenalewashii@gmail.com"/>
  </hyperlinks>
  <pageMargins left="0.70866141732283472" right="0.70866141732283472" top="0.74803149606299213" bottom="0.74803149606299213" header="0.31496062992125984" footer="0.31496062992125984"/>
  <pageSetup scale="88"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20"/>
  <sheetViews>
    <sheetView showGridLines="0" view="pageBreakPreview" topLeftCell="A7" zoomScaleNormal="100" zoomScaleSheetLayoutView="100" workbookViewId="0">
      <selection activeCell="B10" sqref="B10:I10"/>
    </sheetView>
  </sheetViews>
  <sheetFormatPr baseColWidth="10" defaultColWidth="9.140625" defaultRowHeight="12.75" x14ac:dyDescent="0.2"/>
  <cols>
    <col min="1" max="1" width="17.28515625" style="14" customWidth="1"/>
    <col min="2" max="2" width="14" style="14" customWidth="1"/>
    <col min="3" max="3" width="10.42578125" style="14" customWidth="1"/>
    <col min="4" max="4" width="8.7109375" style="14" customWidth="1"/>
    <col min="5" max="5" width="13.28515625" style="14" customWidth="1"/>
    <col min="6" max="6" width="12.5703125" style="14" customWidth="1"/>
    <col min="7" max="7" width="3.28515625" style="14" bestFit="1" customWidth="1"/>
    <col min="8" max="8" width="7.85546875" style="14" customWidth="1"/>
    <col min="9" max="9" width="14.140625" style="14" customWidth="1"/>
    <col min="10" max="10" width="3.140625" style="14" customWidth="1"/>
    <col min="11" max="11" width="5.5703125" style="14" customWidth="1"/>
    <col min="12" max="12" width="15.7109375" style="14" customWidth="1"/>
    <col min="13" max="16384" width="9.140625" style="14"/>
  </cols>
  <sheetData>
    <row r="1" spans="1:12" x14ac:dyDescent="0.2">
      <c r="A1" s="41"/>
      <c r="B1" s="42"/>
      <c r="C1" s="42"/>
      <c r="D1" s="42"/>
      <c r="E1" s="42"/>
      <c r="F1" s="42"/>
      <c r="G1" s="42"/>
      <c r="H1" s="42"/>
      <c r="I1" s="42"/>
    </row>
    <row r="2" spans="1:12" x14ac:dyDescent="0.2">
      <c r="A2" s="41"/>
      <c r="B2" s="41"/>
      <c r="C2" s="41"/>
      <c r="D2" s="41"/>
      <c r="E2" s="41"/>
      <c r="F2" s="41"/>
      <c r="G2" s="41"/>
      <c r="H2" s="41"/>
      <c r="I2" s="41"/>
    </row>
    <row r="3" spans="1:12" ht="15.75" x14ac:dyDescent="0.2">
      <c r="A3" s="131" t="s">
        <v>26</v>
      </c>
      <c r="B3" s="131"/>
      <c r="C3" s="131"/>
      <c r="D3" s="131"/>
      <c r="E3" s="131"/>
      <c r="F3" s="131"/>
      <c r="G3" s="131"/>
      <c r="H3" s="131"/>
      <c r="I3" s="131"/>
      <c r="J3" s="131"/>
    </row>
    <row r="4" spans="1:12" ht="18.75" x14ac:dyDescent="0.2">
      <c r="A4" s="130" t="s">
        <v>27</v>
      </c>
      <c r="B4" s="130"/>
      <c r="C4" s="130"/>
      <c r="D4" s="130"/>
      <c r="E4" s="130"/>
      <c r="F4" s="130"/>
      <c r="G4" s="130"/>
      <c r="H4" s="130"/>
      <c r="I4" s="130"/>
      <c r="J4" s="130"/>
    </row>
    <row r="5" spans="1:12" ht="15" x14ac:dyDescent="0.2">
      <c r="A5" s="129" t="s">
        <v>28</v>
      </c>
      <c r="B5" s="129"/>
      <c r="C5" s="129"/>
      <c r="D5" s="129"/>
      <c r="E5" s="129"/>
      <c r="F5" s="129"/>
      <c r="G5" s="129"/>
      <c r="H5" s="129"/>
      <c r="I5" s="129"/>
      <c r="J5" s="129"/>
    </row>
    <row r="6" spans="1:12" ht="15.75" x14ac:dyDescent="0.2">
      <c r="A6" s="131" t="s">
        <v>29</v>
      </c>
      <c r="B6" s="131"/>
      <c r="C6" s="131"/>
      <c r="D6" s="131"/>
      <c r="E6" s="131"/>
      <c r="F6" s="131"/>
      <c r="G6" s="131"/>
      <c r="H6" s="131"/>
      <c r="I6" s="131"/>
      <c r="J6" s="131"/>
    </row>
    <row r="7" spans="1:12" ht="18.75" x14ac:dyDescent="0.3">
      <c r="A7" s="151" t="s">
        <v>30</v>
      </c>
      <c r="B7" s="151"/>
      <c r="C7" s="151"/>
      <c r="D7" s="151"/>
      <c r="E7" s="151"/>
      <c r="F7" s="151"/>
      <c r="G7" s="151"/>
      <c r="H7" s="151"/>
      <c r="I7" s="151"/>
      <c r="J7" s="151"/>
    </row>
    <row r="8" spans="1:12" ht="8.25" customHeight="1" thickBot="1" x14ac:dyDescent="0.25"/>
    <row r="9" spans="1:12" ht="30.75" thickTop="1" x14ac:dyDescent="0.4">
      <c r="A9" s="74" t="s">
        <v>57</v>
      </c>
      <c r="B9" s="75"/>
      <c r="C9" s="75"/>
      <c r="D9" s="75"/>
      <c r="E9" s="75"/>
      <c r="F9" s="75"/>
      <c r="G9" s="146" t="s">
        <v>98</v>
      </c>
      <c r="H9" s="146"/>
      <c r="I9" s="146"/>
      <c r="J9" s="147"/>
    </row>
    <row r="10" spans="1:12" ht="23.25" x14ac:dyDescent="0.35">
      <c r="A10" s="43" t="s">
        <v>20</v>
      </c>
      <c r="B10" s="153" t="str">
        <f>+AMBIENTAL!B10:I10</f>
        <v>16 de Agosto de 2023</v>
      </c>
      <c r="C10" s="153"/>
      <c r="D10" s="153"/>
      <c r="E10" s="153"/>
      <c r="F10" s="153"/>
      <c r="G10" s="153"/>
      <c r="H10" s="153"/>
      <c r="I10" s="153"/>
      <c r="J10" s="44"/>
    </row>
    <row r="11" spans="1:12" s="17" customFormat="1" ht="14.25" x14ac:dyDescent="0.2">
      <c r="A11" s="45"/>
      <c r="B11" s="8"/>
      <c r="C11" s="8"/>
      <c r="D11" s="8"/>
      <c r="E11" s="8"/>
      <c r="F11" s="8"/>
      <c r="G11" s="8"/>
      <c r="H11" s="8"/>
      <c r="I11" s="8"/>
      <c r="J11" s="46"/>
      <c r="L11" s="18"/>
    </row>
    <row r="12" spans="1:12" s="17" customFormat="1" ht="21.95" customHeight="1" x14ac:dyDescent="0.25">
      <c r="A12" s="47" t="s">
        <v>19</v>
      </c>
      <c r="B12" s="122" t="s">
        <v>54</v>
      </c>
      <c r="C12" s="122"/>
      <c r="D12" s="122"/>
      <c r="E12" s="122"/>
      <c r="F12" s="123" t="s">
        <v>3</v>
      </c>
      <c r="G12" s="124"/>
      <c r="H12" s="154">
        <f>+H28</f>
        <v>7875000</v>
      </c>
      <c r="I12" s="155"/>
      <c r="J12" s="48"/>
      <c r="L12" s="72"/>
    </row>
    <row r="13" spans="1:12" s="17" customFormat="1" ht="21.95" customHeight="1" x14ac:dyDescent="0.25">
      <c r="A13" s="47" t="s">
        <v>35</v>
      </c>
      <c r="B13" s="152">
        <v>40937455</v>
      </c>
      <c r="C13" s="152"/>
      <c r="D13" s="66" t="s">
        <v>38</v>
      </c>
      <c r="E13" s="66"/>
      <c r="F13" s="73" t="s">
        <v>46</v>
      </c>
      <c r="G13" s="2"/>
      <c r="H13" s="3"/>
      <c r="I13" s="3"/>
      <c r="J13" s="48"/>
      <c r="L13" s="73" t="s">
        <v>46</v>
      </c>
    </row>
    <row r="14" spans="1:12" s="17" customFormat="1" ht="21.95" customHeight="1" x14ac:dyDescent="0.25">
      <c r="A14" s="49" t="s">
        <v>3</v>
      </c>
      <c r="B14" s="115" t="str">
        <f>PESOSMN(H12)</f>
        <v>Siete Millones Ochocientos Setenta y Cinco Mil Pesos 00/100</v>
      </c>
      <c r="C14" s="115"/>
      <c r="D14" s="115"/>
      <c r="E14" s="115"/>
      <c r="F14" s="115"/>
      <c r="G14" s="115"/>
      <c r="H14" s="115"/>
      <c r="I14" s="115"/>
      <c r="J14" s="50"/>
    </row>
    <row r="15" spans="1:12" s="17" customFormat="1" ht="15" thickBot="1" x14ac:dyDescent="0.25">
      <c r="A15" s="45"/>
      <c r="B15" s="8"/>
      <c r="C15" s="8"/>
      <c r="D15" s="8"/>
      <c r="E15" s="8"/>
      <c r="F15" s="8"/>
      <c r="G15" s="8"/>
      <c r="H15" s="8"/>
      <c r="I15" s="8"/>
      <c r="J15" s="46"/>
    </row>
    <row r="16" spans="1:12" s="17" customFormat="1" ht="16.5" customHeight="1" thickTop="1" x14ac:dyDescent="0.25">
      <c r="A16" s="47" t="s">
        <v>6</v>
      </c>
      <c r="B16" s="156" t="s">
        <v>87</v>
      </c>
      <c r="C16" s="157"/>
      <c r="D16" s="157"/>
      <c r="E16" s="157"/>
      <c r="F16" s="157"/>
      <c r="G16" s="157"/>
      <c r="H16" s="157"/>
      <c r="I16" s="158"/>
      <c r="J16" s="46"/>
    </row>
    <row r="17" spans="1:10" s="17" customFormat="1" ht="15" x14ac:dyDescent="0.25">
      <c r="A17" s="51"/>
      <c r="B17" s="159"/>
      <c r="C17" s="160"/>
      <c r="D17" s="160"/>
      <c r="E17" s="160"/>
      <c r="F17" s="160"/>
      <c r="G17" s="160"/>
      <c r="H17" s="160"/>
      <c r="I17" s="161"/>
      <c r="J17" s="46"/>
    </row>
    <row r="18" spans="1:10" s="17" customFormat="1" ht="15.75" thickBot="1" x14ac:dyDescent="0.3">
      <c r="A18" s="51"/>
      <c r="B18" s="162"/>
      <c r="C18" s="163"/>
      <c r="D18" s="163"/>
      <c r="E18" s="163"/>
      <c r="F18" s="163"/>
      <c r="G18" s="163"/>
      <c r="H18" s="163"/>
      <c r="I18" s="164"/>
      <c r="J18" s="46"/>
    </row>
    <row r="19" spans="1:10" s="17" customFormat="1" ht="15.75" thickTop="1" x14ac:dyDescent="0.25">
      <c r="A19" s="51"/>
      <c r="B19" s="63"/>
      <c r="C19" s="63"/>
      <c r="D19" s="63"/>
      <c r="E19" s="63"/>
      <c r="F19" s="63"/>
      <c r="G19" s="63"/>
      <c r="H19" s="63"/>
      <c r="I19" s="63"/>
      <c r="J19" s="46"/>
    </row>
    <row r="20" spans="1:10" s="17" customFormat="1" ht="18" x14ac:dyDescent="0.25">
      <c r="A20" s="105" t="s">
        <v>42</v>
      </c>
      <c r="B20" s="106"/>
      <c r="C20" s="106"/>
      <c r="D20" s="106"/>
      <c r="E20" s="106"/>
      <c r="F20" s="106"/>
      <c r="G20" s="63"/>
      <c r="H20" s="154">
        <f>+ROUND(H22/(1+F21),0)</f>
        <v>7875000</v>
      </c>
      <c r="I20" s="155"/>
      <c r="J20" s="46"/>
    </row>
    <row r="21" spans="1:10" s="17" customFormat="1" ht="18" x14ac:dyDescent="0.25">
      <c r="A21" s="105" t="s">
        <v>37</v>
      </c>
      <c r="B21" s="106"/>
      <c r="C21" s="106"/>
      <c r="D21" s="106"/>
      <c r="E21" s="106"/>
      <c r="F21" s="5">
        <v>0</v>
      </c>
      <c r="G21" s="22"/>
      <c r="H21" s="144">
        <f>+ROUND(F21*H20,0)</f>
        <v>0</v>
      </c>
      <c r="I21" s="145"/>
      <c r="J21" s="46"/>
    </row>
    <row r="22" spans="1:10" s="17" customFormat="1" ht="18" x14ac:dyDescent="0.25">
      <c r="A22" s="105" t="s">
        <v>72</v>
      </c>
      <c r="B22" s="106"/>
      <c r="C22" s="106"/>
      <c r="D22" s="106"/>
      <c r="E22" s="106"/>
      <c r="F22" s="63"/>
      <c r="G22" s="63"/>
      <c r="H22" s="107">
        <v>7875000</v>
      </c>
      <c r="I22" s="108"/>
      <c r="J22" s="46"/>
    </row>
    <row r="23" spans="1:10" s="17" customFormat="1" ht="18" x14ac:dyDescent="0.25">
      <c r="A23" s="105" t="s">
        <v>43</v>
      </c>
      <c r="B23" s="106"/>
      <c r="C23" s="106"/>
      <c r="D23" s="106"/>
      <c r="E23" s="106"/>
      <c r="F23" s="5">
        <v>0.1</v>
      </c>
      <c r="G23" s="63"/>
      <c r="H23" s="137">
        <f>+ROUND(F23*H20,0)</f>
        <v>787500</v>
      </c>
      <c r="I23" s="138"/>
      <c r="J23" s="46"/>
    </row>
    <row r="24" spans="1:10" s="17" customFormat="1" ht="18" x14ac:dyDescent="0.25">
      <c r="A24" s="105" t="s">
        <v>36</v>
      </c>
      <c r="B24" s="106"/>
      <c r="C24" s="106"/>
      <c r="D24" s="106"/>
      <c r="E24" s="106"/>
      <c r="F24" s="5"/>
      <c r="G24" s="63"/>
      <c r="H24" s="107"/>
      <c r="I24" s="108"/>
      <c r="J24" s="46"/>
    </row>
    <row r="25" spans="1:10" s="17" customFormat="1" ht="18" x14ac:dyDescent="0.25">
      <c r="A25" s="105" t="s">
        <v>69</v>
      </c>
      <c r="B25" s="106"/>
      <c r="C25" s="106"/>
      <c r="D25" s="106"/>
      <c r="E25" s="106"/>
      <c r="F25" s="106"/>
      <c r="G25" s="112"/>
      <c r="H25" s="113">
        <f>+'RESUMEN de PAGOS'!L9</f>
        <v>0</v>
      </c>
      <c r="I25" s="114"/>
      <c r="J25" s="46"/>
    </row>
    <row r="26" spans="1:10" s="17" customFormat="1" ht="18" x14ac:dyDescent="0.25">
      <c r="A26" s="105" t="s">
        <v>70</v>
      </c>
      <c r="B26" s="106"/>
      <c r="C26" s="106"/>
      <c r="D26" s="106"/>
      <c r="E26" s="106"/>
      <c r="F26" s="106"/>
      <c r="G26" s="112"/>
      <c r="H26" s="113">
        <f>+H23</f>
        <v>787500</v>
      </c>
      <c r="I26" s="114"/>
      <c r="J26" s="46"/>
    </row>
    <row r="27" spans="1:10" s="17" customFormat="1" ht="18" x14ac:dyDescent="0.25">
      <c r="A27" s="105" t="s">
        <v>77</v>
      </c>
      <c r="B27" s="106"/>
      <c r="C27" s="106"/>
      <c r="D27" s="106"/>
      <c r="E27" s="106"/>
      <c r="F27" s="106"/>
      <c r="G27" s="112"/>
      <c r="H27" s="113">
        <f>+'RESUMEN de PAGOS'!I9</f>
        <v>0</v>
      </c>
      <c r="I27" s="114"/>
      <c r="J27" s="46"/>
    </row>
    <row r="28" spans="1:10" s="17" customFormat="1" ht="18" x14ac:dyDescent="0.25">
      <c r="A28" s="105" t="s">
        <v>71</v>
      </c>
      <c r="B28" s="106"/>
      <c r="C28" s="106"/>
      <c r="D28" s="106"/>
      <c r="E28" s="106"/>
      <c r="F28" s="7"/>
      <c r="G28" s="7"/>
      <c r="H28" s="139">
        <f>+H22-H23-H24+H25+H26+H27</f>
        <v>7875000</v>
      </c>
      <c r="I28" s="140"/>
      <c r="J28" s="46"/>
    </row>
    <row r="29" spans="1:10" s="17" customFormat="1" ht="21.95" customHeight="1" x14ac:dyDescent="0.2">
      <c r="A29" s="141" t="s">
        <v>21</v>
      </c>
      <c r="B29" s="142"/>
      <c r="C29" s="142"/>
      <c r="D29" s="142"/>
      <c r="E29" s="142"/>
      <c r="F29" s="142"/>
      <c r="G29" s="142"/>
      <c r="H29" s="142"/>
      <c r="I29" s="142"/>
      <c r="J29" s="143"/>
    </row>
    <row r="30" spans="1:10" s="17" customFormat="1" ht="24.75" customHeight="1" x14ac:dyDescent="0.2">
      <c r="A30" s="65" t="s">
        <v>41</v>
      </c>
      <c r="B30" s="169"/>
      <c r="C30" s="169"/>
      <c r="D30" s="64" t="s">
        <v>39</v>
      </c>
      <c r="E30" s="111"/>
      <c r="F30" s="111"/>
      <c r="G30" s="110" t="s">
        <v>40</v>
      </c>
      <c r="H30" s="110"/>
      <c r="I30" s="3" t="s">
        <v>44</v>
      </c>
      <c r="J30" s="46"/>
    </row>
    <row r="31" spans="1:10" s="17" customFormat="1" ht="37.5" customHeight="1" x14ac:dyDescent="0.2">
      <c r="A31" s="132" t="s">
        <v>22</v>
      </c>
      <c r="B31" s="133"/>
      <c r="C31" s="133"/>
      <c r="D31" s="133"/>
      <c r="E31" s="133"/>
      <c r="F31" s="133"/>
      <c r="G31" s="133"/>
      <c r="H31" s="133"/>
      <c r="I31" s="133"/>
      <c r="J31" s="46"/>
    </row>
    <row r="32" spans="1:10" s="17" customFormat="1" ht="14.25" x14ac:dyDescent="0.2">
      <c r="A32" s="45"/>
      <c r="B32" s="12"/>
      <c r="C32" s="8"/>
      <c r="D32" s="8"/>
      <c r="E32" s="8"/>
      <c r="F32" s="119"/>
      <c r="G32" s="119"/>
      <c r="H32" s="128"/>
      <c r="I32" s="128"/>
      <c r="J32" s="46"/>
    </row>
    <row r="33" spans="1:14" s="17" customFormat="1" ht="24.75" x14ac:dyDescent="0.5">
      <c r="A33" s="134" t="s">
        <v>34</v>
      </c>
      <c r="B33" s="135"/>
      <c r="C33" s="135"/>
      <c r="D33" s="135"/>
      <c r="E33" s="135"/>
      <c r="F33" s="135"/>
      <c r="G33" s="135"/>
      <c r="H33" s="135"/>
      <c r="I33" s="135"/>
      <c r="J33" s="136"/>
    </row>
    <row r="34" spans="1:14" s="17" customFormat="1" ht="15" customHeight="1" x14ac:dyDescent="0.5">
      <c r="A34" s="68"/>
      <c r="B34" s="69"/>
      <c r="C34" s="69"/>
      <c r="D34" s="69"/>
      <c r="E34" s="69"/>
      <c r="F34" s="69"/>
      <c r="G34" s="69"/>
      <c r="H34" s="69"/>
      <c r="I34" s="69"/>
      <c r="J34" s="70"/>
      <c r="N34" s="24"/>
    </row>
    <row r="35" spans="1:14" s="17" customFormat="1" ht="17.25" customHeight="1" x14ac:dyDescent="0.5">
      <c r="A35" s="68"/>
      <c r="B35" s="69"/>
      <c r="C35" s="25"/>
      <c r="D35" s="25"/>
      <c r="E35" s="25"/>
      <c r="F35" s="25"/>
      <c r="G35" s="69"/>
      <c r="H35" s="69"/>
      <c r="I35" s="69"/>
      <c r="J35" s="70"/>
    </row>
    <row r="36" spans="1:14" s="17" customFormat="1" ht="18" customHeight="1" x14ac:dyDescent="0.25">
      <c r="A36" s="116" t="s">
        <v>23</v>
      </c>
      <c r="B36" s="117"/>
      <c r="C36" s="117"/>
      <c r="D36" s="117"/>
      <c r="E36" s="117"/>
      <c r="F36" s="117"/>
      <c r="G36" s="117"/>
      <c r="H36" s="117"/>
      <c r="I36" s="117"/>
      <c r="J36" s="118"/>
    </row>
    <row r="37" spans="1:14" s="17" customFormat="1" ht="18" customHeight="1" x14ac:dyDescent="0.25">
      <c r="A37" s="116" t="s">
        <v>24</v>
      </c>
      <c r="B37" s="117"/>
      <c r="C37" s="117"/>
      <c r="D37" s="117"/>
      <c r="E37" s="117"/>
      <c r="F37" s="117"/>
      <c r="G37" s="117"/>
      <c r="H37" s="117"/>
      <c r="I37" s="117"/>
      <c r="J37" s="118"/>
    </row>
    <row r="38" spans="1:14" s="17" customFormat="1" ht="18" customHeight="1" x14ac:dyDescent="0.25">
      <c r="A38" s="116" t="s">
        <v>25</v>
      </c>
      <c r="B38" s="117"/>
      <c r="C38" s="117"/>
      <c r="D38" s="117"/>
      <c r="E38" s="117"/>
      <c r="F38" s="117"/>
      <c r="G38" s="117"/>
      <c r="H38" s="117"/>
      <c r="I38" s="117"/>
      <c r="J38" s="118"/>
    </row>
    <row r="39" spans="1:14" s="17" customFormat="1" ht="15" thickBot="1" x14ac:dyDescent="0.25">
      <c r="A39" s="54"/>
      <c r="B39" s="55"/>
      <c r="C39" s="55"/>
      <c r="D39" s="55"/>
      <c r="E39" s="55"/>
      <c r="F39" s="55"/>
      <c r="G39" s="55"/>
      <c r="H39" s="55"/>
      <c r="I39" s="55"/>
      <c r="J39" s="56"/>
    </row>
    <row r="40" spans="1:14" s="17" customFormat="1" ht="15" thickTop="1" x14ac:dyDescent="0.2">
      <c r="A40" s="62"/>
      <c r="B40" s="8"/>
      <c r="C40" s="8"/>
      <c r="D40" s="8"/>
      <c r="E40" s="8"/>
      <c r="F40" s="8"/>
      <c r="G40" s="8"/>
      <c r="H40" s="8"/>
      <c r="I40" s="8"/>
      <c r="J40" s="8"/>
    </row>
    <row r="41" spans="1:14" x14ac:dyDescent="0.2">
      <c r="J41" s="29"/>
    </row>
    <row r="42" spans="1:14" ht="12.75" hidden="1" customHeight="1" x14ac:dyDescent="0.2"/>
    <row r="43" spans="1:14" ht="30" hidden="1" customHeight="1" x14ac:dyDescent="0.4">
      <c r="A43" s="30" t="s">
        <v>2</v>
      </c>
      <c r="B43" s="31"/>
      <c r="D43" s="71" t="s">
        <v>8</v>
      </c>
      <c r="E43" s="33">
        <f ca="1">TODAY()</f>
        <v>45516</v>
      </c>
      <c r="F43" s="121" t="s">
        <v>0</v>
      </c>
      <c r="G43" s="121"/>
      <c r="H43" s="34"/>
      <c r="I43" s="34"/>
      <c r="J43" s="13"/>
    </row>
    <row r="44" spans="1:14" s="17" customFormat="1" ht="14.25" hidden="1" customHeight="1" x14ac:dyDescent="0.2">
      <c r="A44" s="15"/>
      <c r="B44" s="8"/>
      <c r="C44" s="8"/>
      <c r="D44" s="8"/>
      <c r="E44" s="8"/>
      <c r="F44" s="8"/>
      <c r="G44" s="8"/>
      <c r="H44" s="8"/>
      <c r="I44" s="8"/>
      <c r="J44" s="16"/>
    </row>
    <row r="45" spans="1:14" s="17" customFormat="1" ht="21.95" hidden="1" customHeight="1" x14ac:dyDescent="0.25">
      <c r="A45" s="6" t="s">
        <v>4</v>
      </c>
      <c r="B45" s="122" t="s">
        <v>5</v>
      </c>
      <c r="C45" s="122"/>
      <c r="D45" s="122"/>
      <c r="E45" s="122"/>
      <c r="F45" s="123" t="s">
        <v>3</v>
      </c>
      <c r="G45" s="124"/>
      <c r="H45" s="125">
        <v>9500</v>
      </c>
      <c r="I45" s="126"/>
      <c r="J45" s="19"/>
    </row>
    <row r="46" spans="1:14" s="17" customFormat="1" ht="21.95" hidden="1" customHeight="1" x14ac:dyDescent="0.25">
      <c r="A46" s="20" t="s">
        <v>3</v>
      </c>
      <c r="B46" s="127" t="str">
        <f>PESOSMN(H45)</f>
        <v>Nueve Mil Quinientos Pesos 00/100</v>
      </c>
      <c r="C46" s="127"/>
      <c r="D46" s="127"/>
      <c r="E46" s="127"/>
      <c r="F46" s="127"/>
      <c r="G46" s="127"/>
      <c r="H46" s="127"/>
      <c r="I46" s="7"/>
      <c r="J46" s="21"/>
    </row>
    <row r="47" spans="1:14" s="17" customFormat="1" ht="14.25" hidden="1" customHeight="1" x14ac:dyDescent="0.2">
      <c r="A47" s="15"/>
      <c r="B47" s="8"/>
      <c r="C47" s="8"/>
      <c r="D47" s="8"/>
      <c r="E47" s="8"/>
      <c r="F47" s="8"/>
      <c r="G47" s="8"/>
      <c r="H47" s="8"/>
      <c r="I47" s="8"/>
      <c r="J47" s="16"/>
    </row>
    <row r="48" spans="1:14" s="17" customFormat="1" ht="15" hidden="1" customHeight="1" x14ac:dyDescent="0.25">
      <c r="A48" s="6" t="s">
        <v>6</v>
      </c>
      <c r="B48" s="122" t="s">
        <v>7</v>
      </c>
      <c r="C48" s="122"/>
      <c r="D48" s="122"/>
      <c r="E48" s="122"/>
      <c r="F48" s="122"/>
      <c r="G48" s="122"/>
      <c r="H48" s="122"/>
      <c r="I48" s="8"/>
      <c r="J48" s="16"/>
    </row>
    <row r="49" spans="1:10" s="17" customFormat="1" ht="21.95" hidden="1" customHeight="1" x14ac:dyDescent="0.2">
      <c r="A49" s="35"/>
      <c r="B49" s="36"/>
      <c r="C49" s="37"/>
      <c r="D49" s="36"/>
      <c r="E49" s="8"/>
      <c r="F49" s="67" t="s">
        <v>9</v>
      </c>
      <c r="G49" s="10" t="s">
        <v>17</v>
      </c>
      <c r="H49" s="11" t="s">
        <v>10</v>
      </c>
      <c r="I49" s="12"/>
      <c r="J49" s="16"/>
    </row>
    <row r="50" spans="1:10" s="17" customFormat="1" ht="14.25" hidden="1" customHeight="1" x14ac:dyDescent="0.2">
      <c r="A50" s="15"/>
      <c r="B50" s="8"/>
      <c r="C50" s="8"/>
      <c r="D50" s="8"/>
      <c r="E50" s="8"/>
      <c r="F50" s="8"/>
      <c r="G50" s="10" t="s">
        <v>18</v>
      </c>
      <c r="H50" s="11" t="s">
        <v>11</v>
      </c>
      <c r="I50" s="39"/>
      <c r="J50" s="16"/>
    </row>
    <row r="51" spans="1:10" s="17" customFormat="1" ht="15" hidden="1" customHeight="1" x14ac:dyDescent="0.25">
      <c r="A51" s="6" t="s">
        <v>13</v>
      </c>
      <c r="B51" s="122"/>
      <c r="C51" s="122"/>
      <c r="D51" s="122"/>
      <c r="E51" s="8"/>
      <c r="F51" s="9" t="s">
        <v>1</v>
      </c>
      <c r="G51" s="10" t="s">
        <v>18</v>
      </c>
      <c r="H51" s="11" t="s">
        <v>12</v>
      </c>
      <c r="I51" s="12"/>
      <c r="J51" s="16"/>
    </row>
    <row r="52" spans="1:10" s="17" customFormat="1" ht="14.25" hidden="1" customHeight="1" x14ac:dyDescent="0.2">
      <c r="A52" s="15"/>
      <c r="B52" s="12" t="s">
        <v>14</v>
      </c>
      <c r="C52" s="8"/>
      <c r="D52" s="8"/>
      <c r="E52" s="8"/>
      <c r="F52" s="8"/>
      <c r="G52" s="8"/>
      <c r="H52" s="8"/>
      <c r="I52" s="8"/>
      <c r="J52" s="16"/>
    </row>
    <row r="53" spans="1:10" s="17" customFormat="1" ht="14.25" hidden="1" customHeight="1" x14ac:dyDescent="0.2">
      <c r="A53" s="15"/>
      <c r="B53" s="12" t="s">
        <v>15</v>
      </c>
      <c r="C53" s="8"/>
      <c r="D53" s="8"/>
      <c r="E53" s="8"/>
      <c r="F53" s="119"/>
      <c r="G53" s="119"/>
      <c r="H53" s="128"/>
      <c r="I53" s="128"/>
      <c r="J53" s="16"/>
    </row>
    <row r="54" spans="1:10" s="17" customFormat="1" ht="14.25" hidden="1" customHeight="1" x14ac:dyDescent="0.2">
      <c r="A54" s="40"/>
      <c r="B54" s="12" t="s">
        <v>16</v>
      </c>
      <c r="C54" s="8"/>
      <c r="D54" s="8"/>
      <c r="E54" s="8"/>
      <c r="F54" s="119"/>
      <c r="G54" s="119"/>
      <c r="H54" s="128"/>
      <c r="I54" s="128"/>
      <c r="J54" s="16"/>
    </row>
    <row r="55" spans="1:10" s="17" customFormat="1" ht="14.25" hidden="1" customHeight="1" x14ac:dyDescent="0.2">
      <c r="E55" s="8"/>
      <c r="F55" s="119"/>
      <c r="G55" s="119"/>
      <c r="H55" s="120"/>
      <c r="I55" s="120"/>
      <c r="J55" s="16"/>
    </row>
    <row r="56" spans="1:10" s="17" customFormat="1" ht="14.25" hidden="1" customHeight="1" x14ac:dyDescent="0.2">
      <c r="A56" s="26"/>
      <c r="B56" s="27"/>
      <c r="C56" s="27"/>
      <c r="D56" s="27"/>
      <c r="E56" s="27"/>
      <c r="F56" s="27"/>
      <c r="G56" s="27"/>
      <c r="H56" s="27"/>
      <c r="I56" s="27"/>
      <c r="J56" s="28"/>
    </row>
    <row r="57" spans="1:10" ht="12.75" hidden="1" customHeight="1" x14ac:dyDescent="0.2"/>
    <row r="58" spans="1:10" ht="12.75" hidden="1" customHeight="1" x14ac:dyDescent="0.2"/>
    <row r="59" spans="1:10" ht="30" hidden="1" customHeight="1" x14ac:dyDescent="0.4">
      <c r="A59" s="30" t="s">
        <v>2</v>
      </c>
      <c r="B59" s="31"/>
      <c r="D59" s="71" t="s">
        <v>8</v>
      </c>
      <c r="E59" s="33">
        <f ca="1">TODAY()</f>
        <v>45516</v>
      </c>
      <c r="F59" s="121" t="s">
        <v>0</v>
      </c>
      <c r="G59" s="121"/>
      <c r="H59" s="34"/>
      <c r="I59" s="34"/>
      <c r="J59" s="13"/>
    </row>
    <row r="60" spans="1:10" s="17" customFormat="1" ht="14.25" hidden="1" customHeight="1" x14ac:dyDescent="0.2">
      <c r="A60" s="15"/>
      <c r="B60" s="8"/>
      <c r="C60" s="8"/>
      <c r="D60" s="8"/>
      <c r="E60" s="8"/>
      <c r="F60" s="8"/>
      <c r="G60" s="8"/>
      <c r="H60" s="8"/>
      <c r="I60" s="8"/>
      <c r="J60" s="16"/>
    </row>
    <row r="61" spans="1:10" s="17" customFormat="1" ht="21.95" hidden="1" customHeight="1" x14ac:dyDescent="0.25">
      <c r="A61" s="6" t="s">
        <v>4</v>
      </c>
      <c r="B61" s="122" t="s">
        <v>5</v>
      </c>
      <c r="C61" s="122"/>
      <c r="D61" s="122"/>
      <c r="E61" s="122"/>
      <c r="F61" s="123" t="s">
        <v>3</v>
      </c>
      <c r="G61" s="124"/>
      <c r="H61" s="125">
        <v>60</v>
      </c>
      <c r="I61" s="126"/>
      <c r="J61" s="19"/>
    </row>
    <row r="62" spans="1:10" s="17" customFormat="1" ht="21.95" hidden="1" customHeight="1" x14ac:dyDescent="0.25">
      <c r="A62" s="20" t="s">
        <v>3</v>
      </c>
      <c r="B62" s="127" t="str">
        <f>PESOSMN(H61)</f>
        <v>Sesenta Pesos 00/100</v>
      </c>
      <c r="C62" s="127"/>
      <c r="D62" s="127"/>
      <c r="E62" s="127"/>
      <c r="F62" s="127"/>
      <c r="G62" s="127"/>
      <c r="H62" s="127"/>
      <c r="I62" s="7"/>
      <c r="J62" s="21"/>
    </row>
    <row r="63" spans="1:10" s="17" customFormat="1" ht="14.25" hidden="1" customHeight="1" x14ac:dyDescent="0.2">
      <c r="A63" s="15"/>
      <c r="B63" s="8"/>
      <c r="C63" s="8"/>
      <c r="D63" s="8"/>
      <c r="E63" s="8"/>
      <c r="F63" s="8"/>
      <c r="G63" s="8"/>
      <c r="H63" s="8"/>
      <c r="I63" s="8"/>
      <c r="J63" s="16"/>
    </row>
    <row r="64" spans="1:10" s="17" customFormat="1" ht="15" hidden="1" customHeight="1" x14ac:dyDescent="0.25">
      <c r="A64" s="6" t="s">
        <v>6</v>
      </c>
      <c r="B64" s="122" t="s">
        <v>7</v>
      </c>
      <c r="C64" s="122"/>
      <c r="D64" s="122"/>
      <c r="E64" s="122"/>
      <c r="F64" s="122"/>
      <c r="G64" s="122"/>
      <c r="H64" s="122"/>
      <c r="I64" s="8"/>
      <c r="J64" s="16"/>
    </row>
    <row r="65" spans="1:10" s="17" customFormat="1" ht="21.95" hidden="1" customHeight="1" x14ac:dyDescent="0.2">
      <c r="A65" s="35"/>
      <c r="B65" s="36"/>
      <c r="C65" s="37"/>
      <c r="D65" s="36"/>
      <c r="E65" s="8"/>
      <c r="F65" s="67" t="s">
        <v>9</v>
      </c>
      <c r="G65" s="10" t="s">
        <v>17</v>
      </c>
      <c r="H65" s="11" t="s">
        <v>10</v>
      </c>
      <c r="I65" s="12"/>
      <c r="J65" s="16"/>
    </row>
    <row r="66" spans="1:10" s="17" customFormat="1" ht="14.25" hidden="1" customHeight="1" x14ac:dyDescent="0.2">
      <c r="A66" s="15"/>
      <c r="B66" s="8"/>
      <c r="C66" s="8"/>
      <c r="D66" s="8"/>
      <c r="E66" s="8"/>
      <c r="F66" s="8"/>
      <c r="G66" s="10" t="s">
        <v>18</v>
      </c>
      <c r="H66" s="11" t="s">
        <v>11</v>
      </c>
      <c r="I66" s="39"/>
      <c r="J66" s="16"/>
    </row>
    <row r="67" spans="1:10" s="17" customFormat="1" ht="15" hidden="1" customHeight="1" x14ac:dyDescent="0.25">
      <c r="A67" s="6" t="s">
        <v>13</v>
      </c>
      <c r="B67" s="122"/>
      <c r="C67" s="122"/>
      <c r="D67" s="122"/>
      <c r="E67" s="8"/>
      <c r="F67" s="9" t="s">
        <v>1</v>
      </c>
      <c r="G67" s="10" t="s">
        <v>18</v>
      </c>
      <c r="H67" s="11" t="s">
        <v>12</v>
      </c>
      <c r="I67" s="12"/>
      <c r="J67" s="16"/>
    </row>
    <row r="68" spans="1:10" s="17" customFormat="1" ht="14.25" hidden="1" customHeight="1" x14ac:dyDescent="0.2">
      <c r="A68" s="15"/>
      <c r="B68" s="12" t="s">
        <v>14</v>
      </c>
      <c r="C68" s="8"/>
      <c r="D68" s="8"/>
      <c r="E68" s="8"/>
      <c r="F68" s="8"/>
      <c r="G68" s="8"/>
      <c r="H68" s="8"/>
      <c r="I68" s="8"/>
      <c r="J68" s="16"/>
    </row>
    <row r="69" spans="1:10" s="17" customFormat="1" ht="14.25" hidden="1" customHeight="1" x14ac:dyDescent="0.2">
      <c r="A69" s="15"/>
      <c r="B69" s="12" t="s">
        <v>15</v>
      </c>
      <c r="C69" s="8"/>
      <c r="D69" s="8"/>
      <c r="E69" s="8"/>
      <c r="F69" s="119"/>
      <c r="G69" s="119"/>
      <c r="H69" s="128"/>
      <c r="I69" s="128"/>
      <c r="J69" s="16"/>
    </row>
    <row r="70" spans="1:10" s="17" customFormat="1" ht="14.25" hidden="1" customHeight="1" x14ac:dyDescent="0.2">
      <c r="A70" s="40"/>
      <c r="B70" s="12" t="s">
        <v>16</v>
      </c>
      <c r="C70" s="8"/>
      <c r="D70" s="8"/>
      <c r="E70" s="8"/>
      <c r="F70" s="119"/>
      <c r="G70" s="119"/>
      <c r="H70" s="128"/>
      <c r="I70" s="128"/>
      <c r="J70" s="16"/>
    </row>
    <row r="71" spans="1:10" s="17" customFormat="1" ht="14.25" hidden="1" customHeight="1" x14ac:dyDescent="0.2">
      <c r="E71" s="8"/>
      <c r="F71" s="119"/>
      <c r="G71" s="119"/>
      <c r="H71" s="120"/>
      <c r="I71" s="120"/>
      <c r="J71" s="16"/>
    </row>
    <row r="72" spans="1:10" s="17" customFormat="1" ht="14.25" hidden="1" customHeight="1" x14ac:dyDescent="0.2">
      <c r="A72" s="26"/>
      <c r="B72" s="27"/>
      <c r="C72" s="27"/>
      <c r="D72" s="27"/>
      <c r="E72" s="27"/>
      <c r="F72" s="27"/>
      <c r="G72" s="27"/>
      <c r="H72" s="27"/>
      <c r="I72" s="27"/>
      <c r="J72" s="28"/>
    </row>
    <row r="73" spans="1:10" ht="12.75" hidden="1" customHeight="1" x14ac:dyDescent="0.2"/>
    <row r="74" spans="1:10" ht="12.75" hidden="1" customHeight="1" x14ac:dyDescent="0.2"/>
    <row r="75" spans="1:10" ht="12.75" hidden="1" customHeight="1" x14ac:dyDescent="0.2"/>
    <row r="76" spans="1:10" ht="12.75" hidden="1" customHeight="1" x14ac:dyDescent="0.2"/>
    <row r="77" spans="1:10" ht="12.75" hidden="1" customHeight="1" x14ac:dyDescent="0.2"/>
    <row r="78" spans="1:10" ht="12.75" hidden="1" customHeight="1" x14ac:dyDescent="0.2"/>
    <row r="79" spans="1:10" ht="12.75" hidden="1" customHeight="1" x14ac:dyDescent="0.2"/>
    <row r="80" spans="1:10" ht="12.75" hidden="1" customHeight="1" x14ac:dyDescent="0.2"/>
    <row r="81" ht="12.75" hidden="1" customHeight="1" x14ac:dyDescent="0.2"/>
    <row r="82" ht="12.75" hidden="1" customHeight="1" x14ac:dyDescent="0.2"/>
    <row r="83" ht="12.75" hidden="1" customHeight="1" x14ac:dyDescent="0.2"/>
    <row r="84" ht="12.75" hidden="1" customHeight="1" x14ac:dyDescent="0.2"/>
    <row r="85" ht="12.75" hidden="1" customHeight="1" x14ac:dyDescent="0.2"/>
    <row r="86" ht="12.75" hidden="1" customHeight="1" x14ac:dyDescent="0.2"/>
    <row r="87" ht="12.75" hidden="1" customHeight="1" x14ac:dyDescent="0.2"/>
    <row r="88" ht="12.75" hidden="1" customHeight="1" x14ac:dyDescent="0.2"/>
    <row r="89" ht="12.75" hidden="1" customHeight="1" x14ac:dyDescent="0.2"/>
    <row r="90" ht="12.75" hidden="1" customHeight="1" x14ac:dyDescent="0.2"/>
    <row r="91" ht="12.75" hidden="1" customHeight="1" x14ac:dyDescent="0.2"/>
    <row r="92" ht="12.75" hidden="1" customHeight="1" x14ac:dyDescent="0.2"/>
    <row r="93" ht="12.75" hidden="1" customHeight="1" x14ac:dyDescent="0.2"/>
    <row r="94" ht="12.75" hidden="1" customHeight="1" x14ac:dyDescent="0.2"/>
    <row r="95" ht="12.75" hidden="1" customHeight="1" x14ac:dyDescent="0.2"/>
    <row r="96" ht="12.75" hidden="1" customHeight="1" x14ac:dyDescent="0.2"/>
    <row r="97" ht="12.75" hidden="1" customHeight="1" x14ac:dyDescent="0.2"/>
    <row r="98" ht="12.75" hidden="1" customHeight="1" x14ac:dyDescent="0.2"/>
    <row r="99" ht="12.75" hidden="1" customHeight="1" x14ac:dyDescent="0.2"/>
    <row r="100" ht="12.75" hidden="1" customHeight="1" x14ac:dyDescent="0.2"/>
    <row r="101" ht="12.75" hidden="1" customHeight="1" x14ac:dyDescent="0.2"/>
    <row r="102" ht="12.75" hidden="1" customHeight="1" x14ac:dyDescent="0.2"/>
    <row r="103" ht="12.75" hidden="1" customHeight="1" x14ac:dyDescent="0.2"/>
    <row r="104" ht="12.75" hidden="1" customHeight="1" x14ac:dyDescent="0.2"/>
    <row r="105" ht="12.75" hidden="1" customHeight="1" x14ac:dyDescent="0.2"/>
    <row r="106" ht="12.75" hidden="1" customHeight="1" x14ac:dyDescent="0.2"/>
    <row r="107" ht="12.75" hidden="1" customHeight="1" x14ac:dyDescent="0.2"/>
    <row r="108" ht="12.75" hidden="1" customHeight="1" x14ac:dyDescent="0.2"/>
    <row r="109" ht="12.75" hidden="1" customHeight="1" x14ac:dyDescent="0.2"/>
    <row r="110" ht="12.75" hidden="1" customHeight="1" x14ac:dyDescent="0.2"/>
    <row r="111" ht="12.75" hidden="1" customHeight="1" x14ac:dyDescent="0.2"/>
    <row r="112" ht="12.75" hidden="1" customHeight="1" x14ac:dyDescent="0.2"/>
    <row r="113" ht="12.75" hidden="1" customHeight="1" x14ac:dyDescent="0.2"/>
    <row r="114" ht="12.75" hidden="1" customHeight="1" x14ac:dyDescent="0.2"/>
    <row r="115" ht="12.75" hidden="1" customHeight="1" x14ac:dyDescent="0.2"/>
    <row r="116" ht="12.75" hidden="1" customHeight="1" x14ac:dyDescent="0.2"/>
    <row r="117" ht="12.75" hidden="1" customHeight="1" x14ac:dyDescent="0.2"/>
    <row r="118" ht="12.75" hidden="1" customHeight="1" x14ac:dyDescent="0.2"/>
    <row r="119" ht="12.75" hidden="1" customHeight="1" x14ac:dyDescent="0.2"/>
    <row r="120" ht="12.75" hidden="1" customHeight="1" x14ac:dyDescent="0.2"/>
    <row r="121" ht="12.75" hidden="1" customHeight="1" x14ac:dyDescent="0.2"/>
    <row r="122" ht="12.75" hidden="1" customHeight="1" x14ac:dyDescent="0.2"/>
    <row r="123" ht="12.75" hidden="1" customHeight="1" x14ac:dyDescent="0.2"/>
    <row r="124" ht="12.75" hidden="1" customHeight="1" x14ac:dyDescent="0.2"/>
    <row r="125" ht="12.75" hidden="1" customHeight="1" x14ac:dyDescent="0.2"/>
    <row r="126" ht="12.75" hidden="1" customHeight="1" x14ac:dyDescent="0.2"/>
    <row r="127" ht="12.75" hidden="1" customHeight="1" x14ac:dyDescent="0.2"/>
    <row r="128" ht="12.75" hidden="1" customHeight="1" x14ac:dyDescent="0.2"/>
    <row r="129" ht="12.75" hidden="1" customHeight="1" x14ac:dyDescent="0.2"/>
    <row r="130" ht="12.75" hidden="1" customHeight="1" x14ac:dyDescent="0.2"/>
    <row r="131" ht="12.75" hidden="1" customHeight="1" x14ac:dyDescent="0.2"/>
    <row r="132" ht="12.75" hidden="1" customHeight="1" x14ac:dyDescent="0.2"/>
    <row r="133" ht="12.75" hidden="1" customHeight="1" x14ac:dyDescent="0.2"/>
    <row r="134" ht="12.75" hidden="1" customHeight="1" x14ac:dyDescent="0.2"/>
    <row r="135" ht="12.75" hidden="1" customHeight="1" x14ac:dyDescent="0.2"/>
    <row r="136" ht="12.75" hidden="1" customHeight="1" x14ac:dyDescent="0.2"/>
    <row r="137" ht="12.75" hidden="1" customHeight="1" x14ac:dyDescent="0.2"/>
    <row r="138" ht="12.75" hidden="1" customHeight="1" x14ac:dyDescent="0.2"/>
    <row r="139" ht="12.75" hidden="1" customHeight="1" x14ac:dyDescent="0.2"/>
    <row r="140" ht="12.75" hidden="1" customHeight="1" x14ac:dyDescent="0.2"/>
    <row r="141" ht="12.75" hidden="1" customHeight="1" x14ac:dyDescent="0.2"/>
    <row r="142" ht="12.75" hidden="1" customHeight="1" x14ac:dyDescent="0.2"/>
    <row r="143" ht="12.75" hidden="1" customHeight="1" x14ac:dyDescent="0.2"/>
    <row r="144" ht="12.75" hidden="1" customHeight="1" x14ac:dyDescent="0.2"/>
    <row r="145" ht="12.75" hidden="1" customHeight="1" x14ac:dyDescent="0.2"/>
    <row r="146" ht="12.75" hidden="1" customHeight="1" x14ac:dyDescent="0.2"/>
    <row r="147" ht="12.75" hidden="1" customHeight="1" x14ac:dyDescent="0.2"/>
    <row r="148" ht="12.75" hidden="1" customHeight="1" x14ac:dyDescent="0.2"/>
    <row r="149" ht="12.75" hidden="1" customHeight="1" x14ac:dyDescent="0.2"/>
    <row r="150" ht="12.75" hidden="1" customHeight="1" x14ac:dyDescent="0.2"/>
    <row r="151" ht="12.75" hidden="1" customHeight="1" x14ac:dyDescent="0.2"/>
    <row r="152" ht="12.75" hidden="1" customHeight="1" x14ac:dyDescent="0.2"/>
    <row r="153" ht="12.75" hidden="1" customHeight="1" x14ac:dyDescent="0.2"/>
    <row r="154" ht="12.75" hidden="1" customHeight="1" x14ac:dyDescent="0.2"/>
    <row r="155" ht="12.75" hidden="1" customHeight="1" x14ac:dyDescent="0.2"/>
    <row r="156" ht="12.75" hidden="1" customHeight="1" x14ac:dyDescent="0.2"/>
    <row r="157" ht="12.75" hidden="1" customHeight="1" x14ac:dyDescent="0.2"/>
    <row r="158" ht="12.75" hidden="1" customHeight="1" x14ac:dyDescent="0.2"/>
    <row r="159" ht="12.75" hidden="1" customHeight="1" x14ac:dyDescent="0.2"/>
    <row r="160" ht="12.75" hidden="1" customHeight="1" x14ac:dyDescent="0.2"/>
    <row r="161" ht="12.75" hidden="1" customHeight="1" x14ac:dyDescent="0.2"/>
    <row r="162" ht="12.75" hidden="1" customHeight="1" x14ac:dyDescent="0.2"/>
    <row r="163" ht="12.75" hidden="1" customHeight="1" x14ac:dyDescent="0.2"/>
    <row r="164" ht="12.75" hidden="1" customHeight="1" x14ac:dyDescent="0.2"/>
    <row r="165" ht="12.75" hidden="1" customHeight="1" x14ac:dyDescent="0.2"/>
    <row r="166" ht="12.75" hidden="1" customHeight="1" x14ac:dyDescent="0.2"/>
    <row r="167" ht="12.75" hidden="1" customHeight="1" x14ac:dyDescent="0.2"/>
    <row r="168" ht="12.75" hidden="1" customHeight="1" x14ac:dyDescent="0.2"/>
    <row r="169" ht="12.75" hidden="1" customHeight="1" x14ac:dyDescent="0.2"/>
    <row r="170" ht="12.75" hidden="1" customHeight="1" x14ac:dyDescent="0.2"/>
    <row r="171" ht="12.75" hidden="1" customHeight="1" x14ac:dyDescent="0.2"/>
    <row r="172" ht="12.75" hidden="1" customHeight="1" x14ac:dyDescent="0.2"/>
    <row r="173" ht="12.75" hidden="1" customHeight="1" x14ac:dyDescent="0.2"/>
    <row r="174" ht="12.75" hidden="1" customHeight="1" x14ac:dyDescent="0.2"/>
    <row r="175" ht="12.75" hidden="1" customHeight="1" x14ac:dyDescent="0.2"/>
    <row r="176" ht="12.75" hidden="1" customHeight="1" x14ac:dyDescent="0.2"/>
    <row r="177" ht="12.75" hidden="1" customHeight="1" x14ac:dyDescent="0.2"/>
    <row r="178" ht="12.75" hidden="1" customHeight="1" x14ac:dyDescent="0.2"/>
    <row r="179" ht="12.75" hidden="1" customHeight="1" x14ac:dyDescent="0.2"/>
    <row r="180" ht="12.75" hidden="1" customHeight="1" x14ac:dyDescent="0.2"/>
    <row r="181" ht="12.75" hidden="1" customHeight="1" x14ac:dyDescent="0.2"/>
    <row r="182" ht="12.75" hidden="1" customHeight="1" x14ac:dyDescent="0.2"/>
    <row r="183" ht="12.75" hidden="1" customHeight="1" x14ac:dyDescent="0.2"/>
    <row r="184" ht="12.75" hidden="1" customHeight="1" x14ac:dyDescent="0.2"/>
    <row r="185" ht="12.75" hidden="1" customHeight="1" x14ac:dyDescent="0.2"/>
    <row r="186" ht="12.75" hidden="1" customHeight="1" x14ac:dyDescent="0.2"/>
    <row r="187" ht="12.75" hidden="1" customHeight="1" x14ac:dyDescent="0.2"/>
    <row r="188" ht="12.75" hidden="1" customHeight="1" x14ac:dyDescent="0.2"/>
    <row r="189" ht="12.75" hidden="1" customHeight="1" x14ac:dyDescent="0.2"/>
    <row r="190" ht="12.75" hidden="1" customHeight="1" x14ac:dyDescent="0.2"/>
    <row r="191" ht="12.75" hidden="1" customHeight="1" x14ac:dyDescent="0.2"/>
    <row r="192" ht="12.75" hidden="1" customHeight="1" x14ac:dyDescent="0.2"/>
    <row r="193" ht="12.75" hidden="1" customHeight="1" x14ac:dyDescent="0.2"/>
    <row r="194" ht="12.75" hidden="1" customHeight="1" x14ac:dyDescent="0.2"/>
    <row r="195" ht="12.75" hidden="1" customHeight="1" x14ac:dyDescent="0.2"/>
    <row r="196" ht="12.75" hidden="1" customHeight="1" x14ac:dyDescent="0.2"/>
    <row r="197" ht="12.75" hidden="1" customHeight="1" x14ac:dyDescent="0.2"/>
    <row r="198" ht="12.75" hidden="1" customHeight="1" x14ac:dyDescent="0.2"/>
    <row r="199" ht="12.75" hidden="1" customHeight="1" x14ac:dyDescent="0.2"/>
    <row r="200" ht="12.75" hidden="1" customHeight="1" x14ac:dyDescent="0.2"/>
    <row r="201" ht="12.75" hidden="1" customHeight="1" x14ac:dyDescent="0.2"/>
    <row r="202" ht="12.75" hidden="1" customHeight="1" x14ac:dyDescent="0.2"/>
    <row r="203" ht="12.75" hidden="1" customHeight="1" x14ac:dyDescent="0.2"/>
    <row r="204" ht="12.75" hidden="1" customHeight="1" x14ac:dyDescent="0.2"/>
    <row r="205" ht="12.75" hidden="1" customHeight="1" x14ac:dyDescent="0.2"/>
    <row r="206" ht="12.75" hidden="1" customHeight="1" x14ac:dyDescent="0.2"/>
    <row r="207" ht="12.75" hidden="1" customHeight="1" x14ac:dyDescent="0.2"/>
    <row r="208" ht="12.75" hidden="1" customHeight="1" x14ac:dyDescent="0.2"/>
    <row r="209" spans="1:10" ht="12.75" hidden="1" customHeight="1" x14ac:dyDescent="0.2"/>
    <row r="210" spans="1:10" ht="12.75" hidden="1" customHeight="1" x14ac:dyDescent="0.2"/>
    <row r="211" spans="1:10" ht="12.75" hidden="1" customHeight="1" x14ac:dyDescent="0.2"/>
    <row r="212" spans="1:10" ht="12.75" hidden="1" customHeight="1" x14ac:dyDescent="0.2"/>
    <row r="213" spans="1:10" ht="12.75" hidden="1" customHeight="1" x14ac:dyDescent="0.2"/>
    <row r="214" spans="1:10" ht="12.75" hidden="1" customHeight="1" x14ac:dyDescent="0.2"/>
    <row r="215" spans="1:10" ht="12.75" hidden="1" customHeight="1" x14ac:dyDescent="0.2"/>
    <row r="216" spans="1:10" x14ac:dyDescent="0.2">
      <c r="A216" s="41"/>
      <c r="B216" s="58"/>
      <c r="C216" s="58"/>
      <c r="D216" s="58"/>
      <c r="E216" s="41"/>
      <c r="F216" s="41"/>
      <c r="G216" s="58"/>
      <c r="H216" s="58"/>
      <c r="I216" s="58"/>
      <c r="J216" s="41"/>
    </row>
    <row r="217" spans="1:10" x14ac:dyDescent="0.2">
      <c r="A217" s="41"/>
      <c r="B217" s="59"/>
      <c r="C217" s="41"/>
      <c r="D217" s="41"/>
      <c r="E217" s="41"/>
      <c r="F217" s="41"/>
      <c r="G217" s="60"/>
      <c r="H217" s="58"/>
      <c r="I217" s="58"/>
      <c r="J217" s="41"/>
    </row>
    <row r="218" spans="1:10" ht="15" x14ac:dyDescent="0.2">
      <c r="A218" s="41"/>
      <c r="B218" s="61"/>
      <c r="C218" s="41"/>
      <c r="D218" s="57" t="s">
        <v>31</v>
      </c>
      <c r="E218" s="57"/>
      <c r="F218" s="57"/>
      <c r="G218" s="57"/>
      <c r="H218" s="57"/>
      <c r="I218" s="57"/>
      <c r="J218" s="57"/>
    </row>
    <row r="219" spans="1:10" ht="17.25" customHeight="1" x14ac:dyDescent="0.2">
      <c r="A219" s="148" t="s">
        <v>32</v>
      </c>
      <c r="B219" s="149"/>
      <c r="C219" s="149"/>
      <c r="D219" s="149"/>
      <c r="E219" s="149"/>
      <c r="F219" s="149"/>
      <c r="G219" s="149"/>
      <c r="H219" s="149"/>
      <c r="I219" s="149"/>
      <c r="J219" s="149"/>
    </row>
    <row r="220" spans="1:10" ht="15" x14ac:dyDescent="0.2">
      <c r="A220" s="150" t="s">
        <v>33</v>
      </c>
      <c r="B220" s="150"/>
      <c r="C220" s="150"/>
      <c r="D220" s="150"/>
      <c r="E220" s="150"/>
      <c r="F220" s="150"/>
      <c r="G220" s="150"/>
      <c r="H220" s="150"/>
      <c r="I220" s="150"/>
      <c r="J220" s="150"/>
    </row>
  </sheetData>
  <mergeCells count="70">
    <mergeCell ref="F71:G71"/>
    <mergeCell ref="H71:I71"/>
    <mergeCell ref="A219:J219"/>
    <mergeCell ref="A220:J220"/>
    <mergeCell ref="G9:J9"/>
    <mergeCell ref="B62:H62"/>
    <mergeCell ref="B64:H64"/>
    <mergeCell ref="B67:D67"/>
    <mergeCell ref="F69:G69"/>
    <mergeCell ref="H69:I69"/>
    <mergeCell ref="F70:G70"/>
    <mergeCell ref="H70:I70"/>
    <mergeCell ref="F55:G55"/>
    <mergeCell ref="H55:I55"/>
    <mergeCell ref="F59:G59"/>
    <mergeCell ref="B61:E61"/>
    <mergeCell ref="F61:G61"/>
    <mergeCell ref="H61:I61"/>
    <mergeCell ref="B46:H46"/>
    <mergeCell ref="B48:H48"/>
    <mergeCell ref="B51:D51"/>
    <mergeCell ref="F53:G53"/>
    <mergeCell ref="H53:I53"/>
    <mergeCell ref="F54:G54"/>
    <mergeCell ref="H54:I54"/>
    <mergeCell ref="B45:E45"/>
    <mergeCell ref="F45:G45"/>
    <mergeCell ref="H45:I45"/>
    <mergeCell ref="A29:J29"/>
    <mergeCell ref="B30:C30"/>
    <mergeCell ref="E30:F30"/>
    <mergeCell ref="G30:H30"/>
    <mergeCell ref="A31:I31"/>
    <mergeCell ref="F32:G32"/>
    <mergeCell ref="H32:I32"/>
    <mergeCell ref="A33:J33"/>
    <mergeCell ref="A36:J36"/>
    <mergeCell ref="A37:J37"/>
    <mergeCell ref="A38:J38"/>
    <mergeCell ref="F43:G43"/>
    <mergeCell ref="A23:E23"/>
    <mergeCell ref="H23:I23"/>
    <mergeCell ref="A24:E24"/>
    <mergeCell ref="H24:I24"/>
    <mergeCell ref="A28:E28"/>
    <mergeCell ref="H28:I28"/>
    <mergeCell ref="A25:G25"/>
    <mergeCell ref="H25:I25"/>
    <mergeCell ref="A26:G26"/>
    <mergeCell ref="H26:I26"/>
    <mergeCell ref="A27:G27"/>
    <mergeCell ref="H27:I27"/>
    <mergeCell ref="A22:E22"/>
    <mergeCell ref="H22:I22"/>
    <mergeCell ref="B10:I10"/>
    <mergeCell ref="B12:E12"/>
    <mergeCell ref="F12:G12"/>
    <mergeCell ref="H12:I12"/>
    <mergeCell ref="B13:C13"/>
    <mergeCell ref="B14:I14"/>
    <mergeCell ref="B16:I18"/>
    <mergeCell ref="A20:F20"/>
    <mergeCell ref="H20:I20"/>
    <mergeCell ref="A21:E21"/>
    <mergeCell ref="H21:I21"/>
    <mergeCell ref="A3:J3"/>
    <mergeCell ref="A4:J4"/>
    <mergeCell ref="A5:J5"/>
    <mergeCell ref="A6:J6"/>
    <mergeCell ref="A7:J7"/>
  </mergeCells>
  <hyperlinks>
    <hyperlink ref="A219" r:id="rId1" display="mailto:asociacionindigenalewashii@gmail.com"/>
  </hyperlinks>
  <pageMargins left="0.70866141732283472" right="0.70866141732283472" top="0.74803149606299213" bottom="0.74803149606299213" header="0.31496062992125984" footer="0.31496062992125984"/>
  <pageSetup scale="86" orientation="portrait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219"/>
  <sheetViews>
    <sheetView showGridLines="0" view="pageBreakPreview" zoomScaleNormal="100" zoomScaleSheetLayoutView="100" workbookViewId="0">
      <selection activeCell="B10" sqref="B10:I10"/>
    </sheetView>
  </sheetViews>
  <sheetFormatPr baseColWidth="10" defaultColWidth="9.140625" defaultRowHeight="12.75" x14ac:dyDescent="0.2"/>
  <cols>
    <col min="1" max="1" width="17.28515625" style="14" customWidth="1"/>
    <col min="2" max="2" width="14" style="14" customWidth="1"/>
    <col min="3" max="3" width="10.42578125" style="14" customWidth="1"/>
    <col min="4" max="4" width="8.7109375" style="14" customWidth="1"/>
    <col min="5" max="5" width="13.28515625" style="14" customWidth="1"/>
    <col min="6" max="6" width="12.5703125" style="14" customWidth="1"/>
    <col min="7" max="7" width="3.28515625" style="14" bestFit="1" customWidth="1"/>
    <col min="8" max="8" width="7.85546875" style="14" customWidth="1"/>
    <col min="9" max="9" width="14.140625" style="14" customWidth="1"/>
    <col min="10" max="10" width="3.140625" style="14" customWidth="1"/>
    <col min="11" max="11" width="5.5703125" style="14" customWidth="1"/>
    <col min="12" max="12" width="15.7109375" style="14" customWidth="1"/>
    <col min="13" max="16384" width="9.140625" style="14"/>
  </cols>
  <sheetData>
    <row r="1" spans="1:12" x14ac:dyDescent="0.2">
      <c r="A1" s="41"/>
      <c r="B1" s="42"/>
      <c r="C1" s="42"/>
      <c r="D1" s="42"/>
      <c r="E1" s="42"/>
      <c r="F1" s="42"/>
      <c r="G1" s="42"/>
      <c r="H1" s="42"/>
      <c r="I1" s="42"/>
    </row>
    <row r="2" spans="1:12" x14ac:dyDescent="0.2">
      <c r="A2" s="41"/>
      <c r="B2" s="41"/>
      <c r="C2" s="41"/>
      <c r="D2" s="41"/>
      <c r="E2" s="41"/>
      <c r="F2" s="41"/>
      <c r="G2" s="41"/>
      <c r="H2" s="41"/>
      <c r="I2" s="41"/>
    </row>
    <row r="3" spans="1:12" ht="15.75" x14ac:dyDescent="0.2">
      <c r="A3" s="131" t="s">
        <v>26</v>
      </c>
      <c r="B3" s="131"/>
      <c r="C3" s="131"/>
      <c r="D3" s="131"/>
      <c r="E3" s="131"/>
      <c r="F3" s="131"/>
      <c r="G3" s="131"/>
      <c r="H3" s="131"/>
      <c r="I3" s="131"/>
      <c r="J3" s="131"/>
    </row>
    <row r="4" spans="1:12" ht="18.75" x14ac:dyDescent="0.2">
      <c r="A4" s="130" t="s">
        <v>27</v>
      </c>
      <c r="B4" s="130"/>
      <c r="C4" s="130"/>
      <c r="D4" s="130"/>
      <c r="E4" s="130"/>
      <c r="F4" s="130"/>
      <c r="G4" s="130"/>
      <c r="H4" s="130"/>
      <c r="I4" s="130"/>
      <c r="J4" s="130"/>
    </row>
    <row r="5" spans="1:12" ht="15" x14ac:dyDescent="0.2">
      <c r="A5" s="129" t="s">
        <v>28</v>
      </c>
      <c r="B5" s="129"/>
      <c r="C5" s="129"/>
      <c r="D5" s="129"/>
      <c r="E5" s="129"/>
      <c r="F5" s="129"/>
      <c r="G5" s="129"/>
      <c r="H5" s="129"/>
      <c r="I5" s="129"/>
      <c r="J5" s="129"/>
    </row>
    <row r="6" spans="1:12" ht="15.75" x14ac:dyDescent="0.2">
      <c r="A6" s="131" t="s">
        <v>29</v>
      </c>
      <c r="B6" s="131"/>
      <c r="C6" s="131"/>
      <c r="D6" s="131"/>
      <c r="E6" s="131"/>
      <c r="F6" s="131"/>
      <c r="G6" s="131"/>
      <c r="H6" s="131"/>
      <c r="I6" s="131"/>
      <c r="J6" s="131"/>
    </row>
    <row r="7" spans="1:12" ht="18.75" x14ac:dyDescent="0.3">
      <c r="A7" s="151" t="s">
        <v>30</v>
      </c>
      <c r="B7" s="151"/>
      <c r="C7" s="151"/>
      <c r="D7" s="151"/>
      <c r="E7" s="151"/>
      <c r="F7" s="151"/>
      <c r="G7" s="151"/>
      <c r="H7" s="151"/>
      <c r="I7" s="151"/>
      <c r="J7" s="151"/>
    </row>
    <row r="8" spans="1:12" ht="8.25" customHeight="1" thickBot="1" x14ac:dyDescent="0.25"/>
    <row r="9" spans="1:12" ht="30.75" thickTop="1" x14ac:dyDescent="0.4">
      <c r="A9" s="74" t="s">
        <v>57</v>
      </c>
      <c r="B9" s="75"/>
      <c r="C9" s="75"/>
      <c r="D9" s="75"/>
      <c r="E9" s="75"/>
      <c r="F9" s="75"/>
      <c r="G9" s="146" t="s">
        <v>99</v>
      </c>
      <c r="H9" s="146"/>
      <c r="I9" s="146"/>
      <c r="J9" s="147"/>
    </row>
    <row r="10" spans="1:12" ht="23.25" x14ac:dyDescent="0.35">
      <c r="A10" s="43" t="s">
        <v>20</v>
      </c>
      <c r="B10" s="153" t="str">
        <f>+AMBIENTAL!B10:I10</f>
        <v>16 de Agosto de 2023</v>
      </c>
      <c r="C10" s="153"/>
      <c r="D10" s="153"/>
      <c r="E10" s="153"/>
      <c r="F10" s="153"/>
      <c r="G10" s="153"/>
      <c r="H10" s="153"/>
      <c r="I10" s="153"/>
      <c r="J10" s="44"/>
    </row>
    <row r="11" spans="1:12" s="17" customFormat="1" ht="14.25" x14ac:dyDescent="0.2">
      <c r="A11" s="45"/>
      <c r="B11" s="8"/>
      <c r="C11" s="8"/>
      <c r="D11" s="8"/>
      <c r="E11" s="8"/>
      <c r="F11" s="8"/>
      <c r="G11" s="8"/>
      <c r="H11" s="8"/>
      <c r="I11" s="8"/>
      <c r="J11" s="46"/>
      <c r="L11" s="18"/>
    </row>
    <row r="12" spans="1:12" s="17" customFormat="1" ht="21.95" customHeight="1" x14ac:dyDescent="0.25">
      <c r="A12" s="47" t="s">
        <v>19</v>
      </c>
      <c r="B12" s="122" t="s">
        <v>55</v>
      </c>
      <c r="C12" s="122"/>
      <c r="D12" s="122"/>
      <c r="E12" s="122"/>
      <c r="F12" s="123" t="s">
        <v>3</v>
      </c>
      <c r="G12" s="124"/>
      <c r="H12" s="167">
        <f>+H27</f>
        <v>3240000</v>
      </c>
      <c r="I12" s="168"/>
      <c r="J12" s="48"/>
      <c r="L12" s="72"/>
    </row>
    <row r="13" spans="1:12" s="17" customFormat="1" ht="21.95" customHeight="1" x14ac:dyDescent="0.25">
      <c r="A13" s="47" t="s">
        <v>35</v>
      </c>
      <c r="B13" s="152">
        <v>77016384</v>
      </c>
      <c r="C13" s="152"/>
      <c r="D13" s="66" t="s">
        <v>38</v>
      </c>
      <c r="E13" s="66"/>
      <c r="F13" s="73" t="s">
        <v>56</v>
      </c>
      <c r="G13" s="2"/>
      <c r="H13" s="3"/>
      <c r="I13" s="3"/>
      <c r="J13" s="48"/>
      <c r="L13" s="73"/>
    </row>
    <row r="14" spans="1:12" s="17" customFormat="1" ht="21.95" customHeight="1" x14ac:dyDescent="0.25">
      <c r="A14" s="49" t="s">
        <v>3</v>
      </c>
      <c r="B14" s="115" t="str">
        <f>PESOSMN(H12)</f>
        <v>Tres Millones Doscientos Cuarenta Mil Pesos 00/100</v>
      </c>
      <c r="C14" s="115"/>
      <c r="D14" s="115"/>
      <c r="E14" s="115"/>
      <c r="F14" s="115"/>
      <c r="G14" s="115"/>
      <c r="H14" s="115"/>
      <c r="I14" s="115"/>
      <c r="J14" s="50"/>
    </row>
    <row r="15" spans="1:12" s="17" customFormat="1" ht="15" thickBot="1" x14ac:dyDescent="0.25">
      <c r="A15" s="45"/>
      <c r="B15" s="8"/>
      <c r="C15" s="8"/>
      <c r="D15" s="8"/>
      <c r="E15" s="8"/>
      <c r="F15" s="8"/>
      <c r="G15" s="8"/>
      <c r="H15" s="8"/>
      <c r="I15" s="8"/>
      <c r="J15" s="46"/>
    </row>
    <row r="16" spans="1:12" s="17" customFormat="1" ht="22.5" customHeight="1" thickTop="1" x14ac:dyDescent="0.25">
      <c r="A16" s="47" t="s">
        <v>6</v>
      </c>
      <c r="B16" s="156" t="s">
        <v>92</v>
      </c>
      <c r="C16" s="157"/>
      <c r="D16" s="157"/>
      <c r="E16" s="157"/>
      <c r="F16" s="157"/>
      <c r="G16" s="157"/>
      <c r="H16" s="157"/>
      <c r="I16" s="158"/>
      <c r="J16" s="46"/>
    </row>
    <row r="17" spans="1:10" s="17" customFormat="1" ht="15" x14ac:dyDescent="0.25">
      <c r="A17" s="51"/>
      <c r="B17" s="159"/>
      <c r="C17" s="160"/>
      <c r="D17" s="160"/>
      <c r="E17" s="160"/>
      <c r="F17" s="160"/>
      <c r="G17" s="160"/>
      <c r="H17" s="160"/>
      <c r="I17" s="161"/>
      <c r="J17" s="46"/>
    </row>
    <row r="18" spans="1:10" s="17" customFormat="1" ht="15.75" thickBot="1" x14ac:dyDescent="0.3">
      <c r="A18" s="51"/>
      <c r="B18" s="162"/>
      <c r="C18" s="163"/>
      <c r="D18" s="163"/>
      <c r="E18" s="163"/>
      <c r="F18" s="163"/>
      <c r="G18" s="163"/>
      <c r="H18" s="163"/>
      <c r="I18" s="164"/>
      <c r="J18" s="46"/>
    </row>
    <row r="19" spans="1:10" s="17" customFormat="1" ht="15.75" thickTop="1" x14ac:dyDescent="0.25">
      <c r="A19" s="51"/>
      <c r="B19" s="63"/>
      <c r="C19" s="63"/>
      <c r="D19" s="63"/>
      <c r="E19" s="63"/>
      <c r="F19" s="63"/>
      <c r="G19" s="63"/>
      <c r="H19" s="63"/>
      <c r="I19" s="63"/>
      <c r="J19" s="46"/>
    </row>
    <row r="20" spans="1:10" s="17" customFormat="1" ht="18" x14ac:dyDescent="0.25">
      <c r="A20" s="105" t="s">
        <v>42</v>
      </c>
      <c r="B20" s="106"/>
      <c r="C20" s="106"/>
      <c r="D20" s="106"/>
      <c r="E20" s="106"/>
      <c r="F20" s="106"/>
      <c r="G20" s="63"/>
      <c r="H20" s="167">
        <f>+ROUND(H22/(1+F21),0)</f>
        <v>3375000</v>
      </c>
      <c r="I20" s="168"/>
      <c r="J20" s="46"/>
    </row>
    <row r="21" spans="1:10" s="17" customFormat="1" ht="18" x14ac:dyDescent="0.25">
      <c r="A21" s="105" t="s">
        <v>37</v>
      </c>
      <c r="B21" s="106"/>
      <c r="C21" s="106"/>
      <c r="D21" s="106"/>
      <c r="E21" s="106"/>
      <c r="F21" s="5">
        <v>0</v>
      </c>
      <c r="G21" s="22"/>
      <c r="H21" s="137">
        <f>+ROUND(F21*H20,0)</f>
        <v>0</v>
      </c>
      <c r="I21" s="138"/>
      <c r="J21" s="46"/>
    </row>
    <row r="22" spans="1:10" s="17" customFormat="1" ht="18" x14ac:dyDescent="0.25">
      <c r="A22" s="105" t="s">
        <v>72</v>
      </c>
      <c r="B22" s="106"/>
      <c r="C22" s="106"/>
      <c r="D22" s="106"/>
      <c r="E22" s="106"/>
      <c r="F22" s="63"/>
      <c r="G22" s="63"/>
      <c r="H22" s="107">
        <v>3375000</v>
      </c>
      <c r="I22" s="108"/>
      <c r="J22" s="46"/>
    </row>
    <row r="23" spans="1:10" s="17" customFormat="1" ht="18" x14ac:dyDescent="0.25">
      <c r="A23" s="105" t="s">
        <v>43</v>
      </c>
      <c r="B23" s="106"/>
      <c r="C23" s="106"/>
      <c r="D23" s="106"/>
      <c r="E23" s="106"/>
      <c r="F23" s="5">
        <v>0.04</v>
      </c>
      <c r="G23" s="63"/>
      <c r="H23" s="137">
        <f>+ROUND(F23*H20,0)</f>
        <v>135000</v>
      </c>
      <c r="I23" s="138"/>
      <c r="J23" s="46"/>
    </row>
    <row r="24" spans="1:10" s="17" customFormat="1" ht="18" x14ac:dyDescent="0.25">
      <c r="A24" s="105" t="s">
        <v>36</v>
      </c>
      <c r="B24" s="106"/>
      <c r="C24" s="106"/>
      <c r="D24" s="106"/>
      <c r="E24" s="106"/>
      <c r="F24" s="5"/>
      <c r="G24" s="63"/>
      <c r="H24" s="107"/>
      <c r="I24" s="108"/>
      <c r="J24" s="46"/>
    </row>
    <row r="25" spans="1:10" s="17" customFormat="1" ht="18" x14ac:dyDescent="0.25">
      <c r="A25" s="105" t="s">
        <v>69</v>
      </c>
      <c r="B25" s="106"/>
      <c r="C25" s="106"/>
      <c r="D25" s="106"/>
      <c r="E25" s="106"/>
      <c r="F25" s="106"/>
      <c r="G25" s="112"/>
      <c r="H25" s="170">
        <f>+'RESUMEN de PAGOS'!L10</f>
        <v>0</v>
      </c>
      <c r="I25" s="171"/>
      <c r="J25" s="46"/>
    </row>
    <row r="26" spans="1:10" s="17" customFormat="1" ht="18" x14ac:dyDescent="0.25">
      <c r="A26" s="105" t="s">
        <v>70</v>
      </c>
      <c r="B26" s="106"/>
      <c r="C26" s="106"/>
      <c r="D26" s="106"/>
      <c r="E26" s="106"/>
      <c r="F26" s="106"/>
      <c r="G26" s="112"/>
      <c r="H26" s="170">
        <v>0</v>
      </c>
      <c r="I26" s="171"/>
      <c r="J26" s="46"/>
    </row>
    <row r="27" spans="1:10" s="17" customFormat="1" ht="18" x14ac:dyDescent="0.25">
      <c r="A27" s="105" t="s">
        <v>71</v>
      </c>
      <c r="B27" s="106"/>
      <c r="C27" s="106"/>
      <c r="D27" s="106"/>
      <c r="E27" s="106"/>
      <c r="F27" s="7"/>
      <c r="G27" s="7"/>
      <c r="H27" s="165">
        <f>+H22-H23-H24+H25+H26</f>
        <v>3240000</v>
      </c>
      <c r="I27" s="166"/>
      <c r="J27" s="46"/>
    </row>
    <row r="28" spans="1:10" s="17" customFormat="1" ht="21.95" customHeight="1" x14ac:dyDescent="0.2">
      <c r="A28" s="141" t="s">
        <v>21</v>
      </c>
      <c r="B28" s="142"/>
      <c r="C28" s="142"/>
      <c r="D28" s="142"/>
      <c r="E28" s="142"/>
      <c r="F28" s="142"/>
      <c r="G28" s="142"/>
      <c r="H28" s="142"/>
      <c r="I28" s="142"/>
      <c r="J28" s="143"/>
    </row>
    <row r="29" spans="1:10" s="17" customFormat="1" ht="24.75" customHeight="1" x14ac:dyDescent="0.2">
      <c r="A29" s="65" t="s">
        <v>41</v>
      </c>
      <c r="B29" s="109"/>
      <c r="C29" s="109"/>
      <c r="D29" s="64" t="s">
        <v>39</v>
      </c>
      <c r="E29" s="111"/>
      <c r="F29" s="111"/>
      <c r="G29" s="110" t="s">
        <v>40</v>
      </c>
      <c r="H29" s="110"/>
      <c r="I29" s="3"/>
      <c r="J29" s="46"/>
    </row>
    <row r="30" spans="1:10" s="17" customFormat="1" ht="41.25" customHeight="1" x14ac:dyDescent="0.2">
      <c r="A30" s="132" t="s">
        <v>22</v>
      </c>
      <c r="B30" s="133"/>
      <c r="C30" s="133"/>
      <c r="D30" s="133"/>
      <c r="E30" s="133"/>
      <c r="F30" s="133"/>
      <c r="G30" s="133"/>
      <c r="H30" s="133"/>
      <c r="I30" s="133"/>
      <c r="J30" s="46"/>
    </row>
    <row r="31" spans="1:10" s="17" customFormat="1" ht="14.25" x14ac:dyDescent="0.2">
      <c r="A31" s="45"/>
      <c r="B31" s="12"/>
      <c r="C31" s="8"/>
      <c r="D31" s="8"/>
      <c r="E31" s="8"/>
      <c r="F31" s="119"/>
      <c r="G31" s="119"/>
      <c r="H31" s="128"/>
      <c r="I31" s="128"/>
      <c r="J31" s="46"/>
    </row>
    <row r="32" spans="1:10" s="17" customFormat="1" ht="24.75" x14ac:dyDescent="0.5">
      <c r="A32" s="134" t="s">
        <v>34</v>
      </c>
      <c r="B32" s="135"/>
      <c r="C32" s="135"/>
      <c r="D32" s="135"/>
      <c r="E32" s="135"/>
      <c r="F32" s="135"/>
      <c r="G32" s="135"/>
      <c r="H32" s="135"/>
      <c r="I32" s="135"/>
      <c r="J32" s="136"/>
    </row>
    <row r="33" spans="1:14" s="17" customFormat="1" ht="15" customHeight="1" x14ac:dyDescent="0.5">
      <c r="A33" s="68"/>
      <c r="B33" s="69"/>
      <c r="C33" s="69"/>
      <c r="D33" s="69"/>
      <c r="E33" s="69"/>
      <c r="F33" s="69"/>
      <c r="G33" s="69"/>
      <c r="H33" s="69"/>
      <c r="I33" s="69"/>
      <c r="J33" s="70"/>
      <c r="N33" s="24"/>
    </row>
    <row r="34" spans="1:14" s="17" customFormat="1" ht="18" customHeight="1" x14ac:dyDescent="0.5">
      <c r="A34" s="68"/>
      <c r="B34" s="69"/>
      <c r="C34" s="25"/>
      <c r="D34" s="25"/>
      <c r="E34" s="25"/>
      <c r="F34" s="25"/>
      <c r="G34" s="69"/>
      <c r="H34" s="69"/>
      <c r="I34" s="69"/>
      <c r="J34" s="70"/>
    </row>
    <row r="35" spans="1:14" s="17" customFormat="1" ht="18" customHeight="1" x14ac:dyDescent="0.25">
      <c r="A35" s="116" t="s">
        <v>23</v>
      </c>
      <c r="B35" s="117"/>
      <c r="C35" s="117"/>
      <c r="D35" s="117"/>
      <c r="E35" s="117"/>
      <c r="F35" s="117"/>
      <c r="G35" s="117"/>
      <c r="H35" s="117"/>
      <c r="I35" s="117"/>
      <c r="J35" s="118"/>
    </row>
    <row r="36" spans="1:14" s="17" customFormat="1" ht="18" customHeight="1" x14ac:dyDescent="0.25">
      <c r="A36" s="116" t="s">
        <v>24</v>
      </c>
      <c r="B36" s="117"/>
      <c r="C36" s="117"/>
      <c r="D36" s="117"/>
      <c r="E36" s="117"/>
      <c r="F36" s="117"/>
      <c r="G36" s="117"/>
      <c r="H36" s="117"/>
      <c r="I36" s="117"/>
      <c r="J36" s="118"/>
    </row>
    <row r="37" spans="1:14" s="17" customFormat="1" ht="18" customHeight="1" x14ac:dyDescent="0.25">
      <c r="A37" s="116" t="s">
        <v>25</v>
      </c>
      <c r="B37" s="117"/>
      <c r="C37" s="117"/>
      <c r="D37" s="117"/>
      <c r="E37" s="117"/>
      <c r="F37" s="117"/>
      <c r="G37" s="117"/>
      <c r="H37" s="117"/>
      <c r="I37" s="117"/>
      <c r="J37" s="118"/>
    </row>
    <row r="38" spans="1:14" s="17" customFormat="1" ht="15" thickBot="1" x14ac:dyDescent="0.25">
      <c r="A38" s="54"/>
      <c r="B38" s="55"/>
      <c r="C38" s="55"/>
      <c r="D38" s="55"/>
      <c r="E38" s="55"/>
      <c r="F38" s="55"/>
      <c r="G38" s="55"/>
      <c r="H38" s="55"/>
      <c r="I38" s="55"/>
      <c r="J38" s="56"/>
    </row>
    <row r="39" spans="1:14" s="17" customFormat="1" ht="15" thickTop="1" x14ac:dyDescent="0.2">
      <c r="A39" s="62"/>
      <c r="B39" s="8"/>
      <c r="C39" s="8"/>
      <c r="D39" s="8"/>
      <c r="E39" s="8"/>
      <c r="F39" s="8"/>
      <c r="G39" s="8"/>
      <c r="H39" s="8"/>
      <c r="I39" s="8"/>
      <c r="J39" s="8"/>
    </row>
    <row r="40" spans="1:14" x14ac:dyDescent="0.2">
      <c r="J40" s="29"/>
    </row>
    <row r="41" spans="1:14" ht="12.75" hidden="1" customHeight="1" x14ac:dyDescent="0.2"/>
    <row r="42" spans="1:14" ht="30" hidden="1" customHeight="1" x14ac:dyDescent="0.4">
      <c r="A42" s="30" t="s">
        <v>2</v>
      </c>
      <c r="B42" s="31"/>
      <c r="D42" s="71" t="s">
        <v>8</v>
      </c>
      <c r="E42" s="33">
        <f ca="1">TODAY()</f>
        <v>45516</v>
      </c>
      <c r="F42" s="121" t="s">
        <v>0</v>
      </c>
      <c r="G42" s="121"/>
      <c r="H42" s="34"/>
      <c r="I42" s="34"/>
      <c r="J42" s="13"/>
    </row>
    <row r="43" spans="1:14" s="17" customFormat="1" ht="14.25" hidden="1" customHeight="1" x14ac:dyDescent="0.2">
      <c r="A43" s="15"/>
      <c r="B43" s="8"/>
      <c r="C43" s="8"/>
      <c r="D43" s="8"/>
      <c r="E43" s="8"/>
      <c r="F43" s="8"/>
      <c r="G43" s="8"/>
      <c r="H43" s="8"/>
      <c r="I43" s="8"/>
      <c r="J43" s="16"/>
    </row>
    <row r="44" spans="1:14" s="17" customFormat="1" ht="21.95" hidden="1" customHeight="1" x14ac:dyDescent="0.25">
      <c r="A44" s="6" t="s">
        <v>4</v>
      </c>
      <c r="B44" s="122" t="s">
        <v>5</v>
      </c>
      <c r="C44" s="122"/>
      <c r="D44" s="122"/>
      <c r="E44" s="122"/>
      <c r="F44" s="123" t="s">
        <v>3</v>
      </c>
      <c r="G44" s="124"/>
      <c r="H44" s="125">
        <v>9500</v>
      </c>
      <c r="I44" s="126"/>
      <c r="J44" s="19"/>
    </row>
    <row r="45" spans="1:14" s="17" customFormat="1" ht="21.95" hidden="1" customHeight="1" x14ac:dyDescent="0.25">
      <c r="A45" s="20" t="s">
        <v>3</v>
      </c>
      <c r="B45" s="127" t="str">
        <f>PESOSMN(H44)</f>
        <v>Nueve Mil Quinientos Pesos 00/100</v>
      </c>
      <c r="C45" s="127"/>
      <c r="D45" s="127"/>
      <c r="E45" s="127"/>
      <c r="F45" s="127"/>
      <c r="G45" s="127"/>
      <c r="H45" s="127"/>
      <c r="I45" s="7"/>
      <c r="J45" s="21"/>
    </row>
    <row r="46" spans="1:14" s="17" customFormat="1" ht="14.25" hidden="1" customHeight="1" x14ac:dyDescent="0.2">
      <c r="A46" s="15"/>
      <c r="B46" s="8"/>
      <c r="C46" s="8"/>
      <c r="D46" s="8"/>
      <c r="E46" s="8"/>
      <c r="F46" s="8"/>
      <c r="G46" s="8"/>
      <c r="H46" s="8"/>
      <c r="I46" s="8"/>
      <c r="J46" s="16"/>
    </row>
    <row r="47" spans="1:14" s="17" customFormat="1" ht="15" hidden="1" customHeight="1" x14ac:dyDescent="0.25">
      <c r="A47" s="6" t="s">
        <v>6</v>
      </c>
      <c r="B47" s="122" t="s">
        <v>7</v>
      </c>
      <c r="C47" s="122"/>
      <c r="D47" s="122"/>
      <c r="E47" s="122"/>
      <c r="F47" s="122"/>
      <c r="G47" s="122"/>
      <c r="H47" s="122"/>
      <c r="I47" s="8"/>
      <c r="J47" s="16"/>
    </row>
    <row r="48" spans="1:14" s="17" customFormat="1" ht="21.95" hidden="1" customHeight="1" x14ac:dyDescent="0.2">
      <c r="A48" s="35"/>
      <c r="B48" s="36"/>
      <c r="C48" s="37"/>
      <c r="D48" s="36"/>
      <c r="E48" s="8"/>
      <c r="F48" s="67" t="s">
        <v>9</v>
      </c>
      <c r="G48" s="10" t="s">
        <v>17</v>
      </c>
      <c r="H48" s="11" t="s">
        <v>10</v>
      </c>
      <c r="I48" s="12"/>
      <c r="J48" s="16"/>
    </row>
    <row r="49" spans="1:10" s="17" customFormat="1" ht="14.25" hidden="1" customHeight="1" x14ac:dyDescent="0.2">
      <c r="A49" s="15"/>
      <c r="B49" s="8"/>
      <c r="C49" s="8"/>
      <c r="D49" s="8"/>
      <c r="E49" s="8"/>
      <c r="F49" s="8"/>
      <c r="G49" s="10" t="s">
        <v>18</v>
      </c>
      <c r="H49" s="11" t="s">
        <v>11</v>
      </c>
      <c r="I49" s="39"/>
      <c r="J49" s="16"/>
    </row>
    <row r="50" spans="1:10" s="17" customFormat="1" ht="15" hidden="1" customHeight="1" x14ac:dyDescent="0.25">
      <c r="A50" s="6" t="s">
        <v>13</v>
      </c>
      <c r="B50" s="122"/>
      <c r="C50" s="122"/>
      <c r="D50" s="122"/>
      <c r="E50" s="8"/>
      <c r="F50" s="9" t="s">
        <v>1</v>
      </c>
      <c r="G50" s="10" t="s">
        <v>18</v>
      </c>
      <c r="H50" s="11" t="s">
        <v>12</v>
      </c>
      <c r="I50" s="12"/>
      <c r="J50" s="16"/>
    </row>
    <row r="51" spans="1:10" s="17" customFormat="1" ht="14.25" hidden="1" customHeight="1" x14ac:dyDescent="0.2">
      <c r="A51" s="15"/>
      <c r="B51" s="12" t="s">
        <v>14</v>
      </c>
      <c r="C51" s="8"/>
      <c r="D51" s="8"/>
      <c r="E51" s="8"/>
      <c r="F51" s="8"/>
      <c r="G51" s="8"/>
      <c r="H51" s="8"/>
      <c r="I51" s="8"/>
      <c r="J51" s="16"/>
    </row>
    <row r="52" spans="1:10" s="17" customFormat="1" ht="14.25" hidden="1" customHeight="1" x14ac:dyDescent="0.2">
      <c r="A52" s="15"/>
      <c r="B52" s="12" t="s">
        <v>15</v>
      </c>
      <c r="C52" s="8"/>
      <c r="D52" s="8"/>
      <c r="E52" s="8"/>
      <c r="F52" s="119"/>
      <c r="G52" s="119"/>
      <c r="H52" s="128"/>
      <c r="I52" s="128"/>
      <c r="J52" s="16"/>
    </row>
    <row r="53" spans="1:10" s="17" customFormat="1" ht="14.25" hidden="1" customHeight="1" x14ac:dyDescent="0.2">
      <c r="A53" s="40"/>
      <c r="B53" s="12" t="s">
        <v>16</v>
      </c>
      <c r="C53" s="8"/>
      <c r="D53" s="8"/>
      <c r="E53" s="8"/>
      <c r="F53" s="119"/>
      <c r="G53" s="119"/>
      <c r="H53" s="128"/>
      <c r="I53" s="128"/>
      <c r="J53" s="16"/>
    </row>
    <row r="54" spans="1:10" s="17" customFormat="1" ht="14.25" hidden="1" customHeight="1" x14ac:dyDescent="0.2">
      <c r="E54" s="8"/>
      <c r="F54" s="119"/>
      <c r="G54" s="119"/>
      <c r="H54" s="120"/>
      <c r="I54" s="120"/>
      <c r="J54" s="16"/>
    </row>
    <row r="55" spans="1:10" s="17" customFormat="1" ht="14.25" hidden="1" customHeight="1" x14ac:dyDescent="0.2">
      <c r="A55" s="26"/>
      <c r="B55" s="27"/>
      <c r="C55" s="27"/>
      <c r="D55" s="27"/>
      <c r="E55" s="27"/>
      <c r="F55" s="27"/>
      <c r="G55" s="27"/>
      <c r="H55" s="27"/>
      <c r="I55" s="27"/>
      <c r="J55" s="28"/>
    </row>
    <row r="56" spans="1:10" ht="12.75" hidden="1" customHeight="1" x14ac:dyDescent="0.2"/>
    <row r="57" spans="1:10" ht="12.75" hidden="1" customHeight="1" x14ac:dyDescent="0.2"/>
    <row r="58" spans="1:10" ht="30" hidden="1" customHeight="1" x14ac:dyDescent="0.4">
      <c r="A58" s="30" t="s">
        <v>2</v>
      </c>
      <c r="B58" s="31"/>
      <c r="D58" s="71" t="s">
        <v>8</v>
      </c>
      <c r="E58" s="33">
        <f ca="1">TODAY()</f>
        <v>45516</v>
      </c>
      <c r="F58" s="121" t="s">
        <v>0</v>
      </c>
      <c r="G58" s="121"/>
      <c r="H58" s="34"/>
      <c r="I58" s="34"/>
      <c r="J58" s="13"/>
    </row>
    <row r="59" spans="1:10" s="17" customFormat="1" ht="14.25" hidden="1" customHeight="1" x14ac:dyDescent="0.2">
      <c r="A59" s="15"/>
      <c r="B59" s="8"/>
      <c r="C59" s="8"/>
      <c r="D59" s="8"/>
      <c r="E59" s="8"/>
      <c r="F59" s="8"/>
      <c r="G59" s="8"/>
      <c r="H59" s="8"/>
      <c r="I59" s="8"/>
      <c r="J59" s="16"/>
    </row>
    <row r="60" spans="1:10" s="17" customFormat="1" ht="21.95" hidden="1" customHeight="1" x14ac:dyDescent="0.25">
      <c r="A60" s="6" t="s">
        <v>4</v>
      </c>
      <c r="B60" s="122" t="s">
        <v>5</v>
      </c>
      <c r="C60" s="122"/>
      <c r="D60" s="122"/>
      <c r="E60" s="122"/>
      <c r="F60" s="123" t="s">
        <v>3</v>
      </c>
      <c r="G60" s="124"/>
      <c r="H60" s="125">
        <v>60</v>
      </c>
      <c r="I60" s="126"/>
      <c r="J60" s="19"/>
    </row>
    <row r="61" spans="1:10" s="17" customFormat="1" ht="21.95" hidden="1" customHeight="1" x14ac:dyDescent="0.25">
      <c r="A61" s="20" t="s">
        <v>3</v>
      </c>
      <c r="B61" s="127" t="str">
        <f>PESOSMN(H60)</f>
        <v>Sesenta Pesos 00/100</v>
      </c>
      <c r="C61" s="127"/>
      <c r="D61" s="127"/>
      <c r="E61" s="127"/>
      <c r="F61" s="127"/>
      <c r="G61" s="127"/>
      <c r="H61" s="127"/>
      <c r="I61" s="7"/>
      <c r="J61" s="21"/>
    </row>
    <row r="62" spans="1:10" s="17" customFormat="1" ht="14.25" hidden="1" customHeight="1" x14ac:dyDescent="0.2">
      <c r="A62" s="15"/>
      <c r="B62" s="8"/>
      <c r="C62" s="8"/>
      <c r="D62" s="8"/>
      <c r="E62" s="8"/>
      <c r="F62" s="8"/>
      <c r="G62" s="8"/>
      <c r="H62" s="8"/>
      <c r="I62" s="8"/>
      <c r="J62" s="16"/>
    </row>
    <row r="63" spans="1:10" s="17" customFormat="1" ht="15" hidden="1" customHeight="1" x14ac:dyDescent="0.25">
      <c r="A63" s="6" t="s">
        <v>6</v>
      </c>
      <c r="B63" s="122" t="s">
        <v>7</v>
      </c>
      <c r="C63" s="122"/>
      <c r="D63" s="122"/>
      <c r="E63" s="122"/>
      <c r="F63" s="122"/>
      <c r="G63" s="122"/>
      <c r="H63" s="122"/>
      <c r="I63" s="8"/>
      <c r="J63" s="16"/>
    </row>
    <row r="64" spans="1:10" s="17" customFormat="1" ht="21.95" hidden="1" customHeight="1" x14ac:dyDescent="0.2">
      <c r="A64" s="35"/>
      <c r="B64" s="36"/>
      <c r="C64" s="37"/>
      <c r="D64" s="36"/>
      <c r="E64" s="8"/>
      <c r="F64" s="67" t="s">
        <v>9</v>
      </c>
      <c r="G64" s="10" t="s">
        <v>17</v>
      </c>
      <c r="H64" s="11" t="s">
        <v>10</v>
      </c>
      <c r="I64" s="12"/>
      <c r="J64" s="16"/>
    </row>
    <row r="65" spans="1:10" s="17" customFormat="1" ht="14.25" hidden="1" customHeight="1" x14ac:dyDescent="0.2">
      <c r="A65" s="15"/>
      <c r="B65" s="8"/>
      <c r="C65" s="8"/>
      <c r="D65" s="8"/>
      <c r="E65" s="8"/>
      <c r="F65" s="8"/>
      <c r="G65" s="10" t="s">
        <v>18</v>
      </c>
      <c r="H65" s="11" t="s">
        <v>11</v>
      </c>
      <c r="I65" s="39"/>
      <c r="J65" s="16"/>
    </row>
    <row r="66" spans="1:10" s="17" customFormat="1" ht="15" hidden="1" customHeight="1" x14ac:dyDescent="0.25">
      <c r="A66" s="6" t="s">
        <v>13</v>
      </c>
      <c r="B66" s="122"/>
      <c r="C66" s="122"/>
      <c r="D66" s="122"/>
      <c r="E66" s="8"/>
      <c r="F66" s="9" t="s">
        <v>1</v>
      </c>
      <c r="G66" s="10" t="s">
        <v>18</v>
      </c>
      <c r="H66" s="11" t="s">
        <v>12</v>
      </c>
      <c r="I66" s="12"/>
      <c r="J66" s="16"/>
    </row>
    <row r="67" spans="1:10" s="17" customFormat="1" ht="14.25" hidden="1" customHeight="1" x14ac:dyDescent="0.2">
      <c r="A67" s="15"/>
      <c r="B67" s="12" t="s">
        <v>14</v>
      </c>
      <c r="C67" s="8"/>
      <c r="D67" s="8"/>
      <c r="E67" s="8"/>
      <c r="F67" s="8"/>
      <c r="G67" s="8"/>
      <c r="H67" s="8"/>
      <c r="I67" s="8"/>
      <c r="J67" s="16"/>
    </row>
    <row r="68" spans="1:10" s="17" customFormat="1" ht="14.25" hidden="1" customHeight="1" x14ac:dyDescent="0.2">
      <c r="A68" s="15"/>
      <c r="B68" s="12" t="s">
        <v>15</v>
      </c>
      <c r="C68" s="8"/>
      <c r="D68" s="8"/>
      <c r="E68" s="8"/>
      <c r="F68" s="119"/>
      <c r="G68" s="119"/>
      <c r="H68" s="128"/>
      <c r="I68" s="128"/>
      <c r="J68" s="16"/>
    </row>
    <row r="69" spans="1:10" s="17" customFormat="1" ht="14.25" hidden="1" customHeight="1" x14ac:dyDescent="0.2">
      <c r="A69" s="40"/>
      <c r="B69" s="12" t="s">
        <v>16</v>
      </c>
      <c r="C69" s="8"/>
      <c r="D69" s="8"/>
      <c r="E69" s="8"/>
      <c r="F69" s="119"/>
      <c r="G69" s="119"/>
      <c r="H69" s="128"/>
      <c r="I69" s="128"/>
      <c r="J69" s="16"/>
    </row>
    <row r="70" spans="1:10" s="17" customFormat="1" ht="14.25" hidden="1" customHeight="1" x14ac:dyDescent="0.2">
      <c r="E70" s="8"/>
      <c r="F70" s="119"/>
      <c r="G70" s="119"/>
      <c r="H70" s="120"/>
      <c r="I70" s="120"/>
      <c r="J70" s="16"/>
    </row>
    <row r="71" spans="1:10" s="17" customFormat="1" ht="14.25" hidden="1" customHeight="1" x14ac:dyDescent="0.2">
      <c r="A71" s="26"/>
      <c r="B71" s="27"/>
      <c r="C71" s="27"/>
      <c r="D71" s="27"/>
      <c r="E71" s="27"/>
      <c r="F71" s="27"/>
      <c r="G71" s="27"/>
      <c r="H71" s="27"/>
      <c r="I71" s="27"/>
      <c r="J71" s="28"/>
    </row>
    <row r="72" spans="1:10" ht="12.75" hidden="1" customHeight="1" x14ac:dyDescent="0.2"/>
    <row r="73" spans="1:10" ht="12.75" hidden="1" customHeight="1" x14ac:dyDescent="0.2"/>
    <row r="74" spans="1:10" ht="12.75" hidden="1" customHeight="1" x14ac:dyDescent="0.2"/>
    <row r="75" spans="1:10" ht="12.75" hidden="1" customHeight="1" x14ac:dyDescent="0.2"/>
    <row r="76" spans="1:10" ht="12.75" hidden="1" customHeight="1" x14ac:dyDescent="0.2"/>
    <row r="77" spans="1:10" ht="12.75" hidden="1" customHeight="1" x14ac:dyDescent="0.2"/>
    <row r="78" spans="1:10" ht="12.75" hidden="1" customHeight="1" x14ac:dyDescent="0.2"/>
    <row r="79" spans="1:10" ht="12.75" hidden="1" customHeight="1" x14ac:dyDescent="0.2"/>
    <row r="80" spans="1:10" ht="12.75" hidden="1" customHeight="1" x14ac:dyDescent="0.2"/>
    <row r="81" ht="12.75" hidden="1" customHeight="1" x14ac:dyDescent="0.2"/>
    <row r="82" ht="12.75" hidden="1" customHeight="1" x14ac:dyDescent="0.2"/>
    <row r="83" ht="12.75" hidden="1" customHeight="1" x14ac:dyDescent="0.2"/>
    <row r="84" ht="12.75" hidden="1" customHeight="1" x14ac:dyDescent="0.2"/>
    <row r="85" ht="12.75" hidden="1" customHeight="1" x14ac:dyDescent="0.2"/>
    <row r="86" ht="12.75" hidden="1" customHeight="1" x14ac:dyDescent="0.2"/>
    <row r="87" ht="12.75" hidden="1" customHeight="1" x14ac:dyDescent="0.2"/>
    <row r="88" ht="12.75" hidden="1" customHeight="1" x14ac:dyDescent="0.2"/>
    <row r="89" ht="12.75" hidden="1" customHeight="1" x14ac:dyDescent="0.2"/>
    <row r="90" ht="12.75" hidden="1" customHeight="1" x14ac:dyDescent="0.2"/>
    <row r="91" ht="12.75" hidden="1" customHeight="1" x14ac:dyDescent="0.2"/>
    <row r="92" ht="12.75" hidden="1" customHeight="1" x14ac:dyDescent="0.2"/>
    <row r="93" ht="12.75" hidden="1" customHeight="1" x14ac:dyDescent="0.2"/>
    <row r="94" ht="12.75" hidden="1" customHeight="1" x14ac:dyDescent="0.2"/>
    <row r="95" ht="12.75" hidden="1" customHeight="1" x14ac:dyDescent="0.2"/>
    <row r="96" ht="12.75" hidden="1" customHeight="1" x14ac:dyDescent="0.2"/>
    <row r="97" ht="12.75" hidden="1" customHeight="1" x14ac:dyDescent="0.2"/>
    <row r="98" ht="12.75" hidden="1" customHeight="1" x14ac:dyDescent="0.2"/>
    <row r="99" ht="12.75" hidden="1" customHeight="1" x14ac:dyDescent="0.2"/>
    <row r="100" ht="12.75" hidden="1" customHeight="1" x14ac:dyDescent="0.2"/>
    <row r="101" ht="12.75" hidden="1" customHeight="1" x14ac:dyDescent="0.2"/>
    <row r="102" ht="12.75" hidden="1" customHeight="1" x14ac:dyDescent="0.2"/>
    <row r="103" ht="12.75" hidden="1" customHeight="1" x14ac:dyDescent="0.2"/>
    <row r="104" ht="12.75" hidden="1" customHeight="1" x14ac:dyDescent="0.2"/>
    <row r="105" ht="12.75" hidden="1" customHeight="1" x14ac:dyDescent="0.2"/>
    <row r="106" ht="12.75" hidden="1" customHeight="1" x14ac:dyDescent="0.2"/>
    <row r="107" ht="12.75" hidden="1" customHeight="1" x14ac:dyDescent="0.2"/>
    <row r="108" ht="12.75" hidden="1" customHeight="1" x14ac:dyDescent="0.2"/>
    <row r="109" ht="12.75" hidden="1" customHeight="1" x14ac:dyDescent="0.2"/>
    <row r="110" ht="12.75" hidden="1" customHeight="1" x14ac:dyDescent="0.2"/>
    <row r="111" ht="12.75" hidden="1" customHeight="1" x14ac:dyDescent="0.2"/>
    <row r="112" ht="12.75" hidden="1" customHeight="1" x14ac:dyDescent="0.2"/>
    <row r="113" ht="12.75" hidden="1" customHeight="1" x14ac:dyDescent="0.2"/>
    <row r="114" ht="12.75" hidden="1" customHeight="1" x14ac:dyDescent="0.2"/>
    <row r="115" ht="12.75" hidden="1" customHeight="1" x14ac:dyDescent="0.2"/>
    <row r="116" ht="12.75" hidden="1" customHeight="1" x14ac:dyDescent="0.2"/>
    <row r="117" ht="12.75" hidden="1" customHeight="1" x14ac:dyDescent="0.2"/>
    <row r="118" ht="12.75" hidden="1" customHeight="1" x14ac:dyDescent="0.2"/>
    <row r="119" ht="12.75" hidden="1" customHeight="1" x14ac:dyDescent="0.2"/>
    <row r="120" ht="12.75" hidden="1" customHeight="1" x14ac:dyDescent="0.2"/>
    <row r="121" ht="12.75" hidden="1" customHeight="1" x14ac:dyDescent="0.2"/>
    <row r="122" ht="12.75" hidden="1" customHeight="1" x14ac:dyDescent="0.2"/>
    <row r="123" ht="12.75" hidden="1" customHeight="1" x14ac:dyDescent="0.2"/>
    <row r="124" ht="12.75" hidden="1" customHeight="1" x14ac:dyDescent="0.2"/>
    <row r="125" ht="12.75" hidden="1" customHeight="1" x14ac:dyDescent="0.2"/>
    <row r="126" ht="12.75" hidden="1" customHeight="1" x14ac:dyDescent="0.2"/>
    <row r="127" ht="12.75" hidden="1" customHeight="1" x14ac:dyDescent="0.2"/>
    <row r="128" ht="12.75" hidden="1" customHeight="1" x14ac:dyDescent="0.2"/>
    <row r="129" ht="12.75" hidden="1" customHeight="1" x14ac:dyDescent="0.2"/>
    <row r="130" ht="12.75" hidden="1" customHeight="1" x14ac:dyDescent="0.2"/>
    <row r="131" ht="12.75" hidden="1" customHeight="1" x14ac:dyDescent="0.2"/>
    <row r="132" ht="12.75" hidden="1" customHeight="1" x14ac:dyDescent="0.2"/>
    <row r="133" ht="12.75" hidden="1" customHeight="1" x14ac:dyDescent="0.2"/>
    <row r="134" ht="12.75" hidden="1" customHeight="1" x14ac:dyDescent="0.2"/>
    <row r="135" ht="12.75" hidden="1" customHeight="1" x14ac:dyDescent="0.2"/>
    <row r="136" ht="12.75" hidden="1" customHeight="1" x14ac:dyDescent="0.2"/>
    <row r="137" ht="12.75" hidden="1" customHeight="1" x14ac:dyDescent="0.2"/>
    <row r="138" ht="12.75" hidden="1" customHeight="1" x14ac:dyDescent="0.2"/>
    <row r="139" ht="12.75" hidden="1" customHeight="1" x14ac:dyDescent="0.2"/>
    <row r="140" ht="12.75" hidden="1" customHeight="1" x14ac:dyDescent="0.2"/>
    <row r="141" ht="12.75" hidden="1" customHeight="1" x14ac:dyDescent="0.2"/>
    <row r="142" ht="12.75" hidden="1" customHeight="1" x14ac:dyDescent="0.2"/>
    <row r="143" ht="12.75" hidden="1" customHeight="1" x14ac:dyDescent="0.2"/>
    <row r="144" ht="12.75" hidden="1" customHeight="1" x14ac:dyDescent="0.2"/>
    <row r="145" ht="12.75" hidden="1" customHeight="1" x14ac:dyDescent="0.2"/>
    <row r="146" ht="12.75" hidden="1" customHeight="1" x14ac:dyDescent="0.2"/>
    <row r="147" ht="12.75" hidden="1" customHeight="1" x14ac:dyDescent="0.2"/>
    <row r="148" ht="12.75" hidden="1" customHeight="1" x14ac:dyDescent="0.2"/>
    <row r="149" ht="12.75" hidden="1" customHeight="1" x14ac:dyDescent="0.2"/>
    <row r="150" ht="12.75" hidden="1" customHeight="1" x14ac:dyDescent="0.2"/>
    <row r="151" ht="12.75" hidden="1" customHeight="1" x14ac:dyDescent="0.2"/>
    <row r="152" ht="12.75" hidden="1" customHeight="1" x14ac:dyDescent="0.2"/>
    <row r="153" ht="12.75" hidden="1" customHeight="1" x14ac:dyDescent="0.2"/>
    <row r="154" ht="12.75" hidden="1" customHeight="1" x14ac:dyDescent="0.2"/>
    <row r="155" ht="12.75" hidden="1" customHeight="1" x14ac:dyDescent="0.2"/>
    <row r="156" ht="12.75" hidden="1" customHeight="1" x14ac:dyDescent="0.2"/>
    <row r="157" ht="12.75" hidden="1" customHeight="1" x14ac:dyDescent="0.2"/>
    <row r="158" ht="12.75" hidden="1" customHeight="1" x14ac:dyDescent="0.2"/>
    <row r="159" ht="12.75" hidden="1" customHeight="1" x14ac:dyDescent="0.2"/>
    <row r="160" ht="12.75" hidden="1" customHeight="1" x14ac:dyDescent="0.2"/>
    <row r="161" ht="12.75" hidden="1" customHeight="1" x14ac:dyDescent="0.2"/>
    <row r="162" ht="12.75" hidden="1" customHeight="1" x14ac:dyDescent="0.2"/>
    <row r="163" ht="12.75" hidden="1" customHeight="1" x14ac:dyDescent="0.2"/>
    <row r="164" ht="12.75" hidden="1" customHeight="1" x14ac:dyDescent="0.2"/>
    <row r="165" ht="12.75" hidden="1" customHeight="1" x14ac:dyDescent="0.2"/>
    <row r="166" ht="12.75" hidden="1" customHeight="1" x14ac:dyDescent="0.2"/>
    <row r="167" ht="12.75" hidden="1" customHeight="1" x14ac:dyDescent="0.2"/>
    <row r="168" ht="12.75" hidden="1" customHeight="1" x14ac:dyDescent="0.2"/>
    <row r="169" ht="12.75" hidden="1" customHeight="1" x14ac:dyDescent="0.2"/>
    <row r="170" ht="12.75" hidden="1" customHeight="1" x14ac:dyDescent="0.2"/>
    <row r="171" ht="12.75" hidden="1" customHeight="1" x14ac:dyDescent="0.2"/>
    <row r="172" ht="12.75" hidden="1" customHeight="1" x14ac:dyDescent="0.2"/>
    <row r="173" ht="12.75" hidden="1" customHeight="1" x14ac:dyDescent="0.2"/>
    <row r="174" ht="12.75" hidden="1" customHeight="1" x14ac:dyDescent="0.2"/>
    <row r="175" ht="12.75" hidden="1" customHeight="1" x14ac:dyDescent="0.2"/>
    <row r="176" ht="12.75" hidden="1" customHeight="1" x14ac:dyDescent="0.2"/>
    <row r="177" ht="12.75" hidden="1" customHeight="1" x14ac:dyDescent="0.2"/>
    <row r="178" ht="12.75" hidden="1" customHeight="1" x14ac:dyDescent="0.2"/>
    <row r="179" ht="12.75" hidden="1" customHeight="1" x14ac:dyDescent="0.2"/>
    <row r="180" ht="12.75" hidden="1" customHeight="1" x14ac:dyDescent="0.2"/>
    <row r="181" ht="12.75" hidden="1" customHeight="1" x14ac:dyDescent="0.2"/>
    <row r="182" ht="12.75" hidden="1" customHeight="1" x14ac:dyDescent="0.2"/>
    <row r="183" ht="12.75" hidden="1" customHeight="1" x14ac:dyDescent="0.2"/>
    <row r="184" ht="12.75" hidden="1" customHeight="1" x14ac:dyDescent="0.2"/>
    <row r="185" ht="12.75" hidden="1" customHeight="1" x14ac:dyDescent="0.2"/>
    <row r="186" ht="12.75" hidden="1" customHeight="1" x14ac:dyDescent="0.2"/>
    <row r="187" ht="12.75" hidden="1" customHeight="1" x14ac:dyDescent="0.2"/>
    <row r="188" ht="12.75" hidden="1" customHeight="1" x14ac:dyDescent="0.2"/>
    <row r="189" ht="12.75" hidden="1" customHeight="1" x14ac:dyDescent="0.2"/>
    <row r="190" ht="12.75" hidden="1" customHeight="1" x14ac:dyDescent="0.2"/>
    <row r="191" ht="12.75" hidden="1" customHeight="1" x14ac:dyDescent="0.2"/>
    <row r="192" ht="12.75" hidden="1" customHeight="1" x14ac:dyDescent="0.2"/>
    <row r="193" ht="12.75" hidden="1" customHeight="1" x14ac:dyDescent="0.2"/>
    <row r="194" ht="12.75" hidden="1" customHeight="1" x14ac:dyDescent="0.2"/>
    <row r="195" ht="12.75" hidden="1" customHeight="1" x14ac:dyDescent="0.2"/>
    <row r="196" ht="12.75" hidden="1" customHeight="1" x14ac:dyDescent="0.2"/>
    <row r="197" ht="12.75" hidden="1" customHeight="1" x14ac:dyDescent="0.2"/>
    <row r="198" ht="12.75" hidden="1" customHeight="1" x14ac:dyDescent="0.2"/>
    <row r="199" ht="12.75" hidden="1" customHeight="1" x14ac:dyDescent="0.2"/>
    <row r="200" ht="12.75" hidden="1" customHeight="1" x14ac:dyDescent="0.2"/>
    <row r="201" ht="12.75" hidden="1" customHeight="1" x14ac:dyDescent="0.2"/>
    <row r="202" ht="12.75" hidden="1" customHeight="1" x14ac:dyDescent="0.2"/>
    <row r="203" ht="12.75" hidden="1" customHeight="1" x14ac:dyDescent="0.2"/>
    <row r="204" ht="12.75" hidden="1" customHeight="1" x14ac:dyDescent="0.2"/>
    <row r="205" ht="12.75" hidden="1" customHeight="1" x14ac:dyDescent="0.2"/>
    <row r="206" ht="12.75" hidden="1" customHeight="1" x14ac:dyDescent="0.2"/>
    <row r="207" ht="12.75" hidden="1" customHeight="1" x14ac:dyDescent="0.2"/>
    <row r="208" ht="12.75" hidden="1" customHeight="1" x14ac:dyDescent="0.2"/>
    <row r="209" spans="1:10" ht="12.75" hidden="1" customHeight="1" x14ac:dyDescent="0.2"/>
    <row r="210" spans="1:10" ht="12.75" hidden="1" customHeight="1" x14ac:dyDescent="0.2"/>
    <row r="211" spans="1:10" ht="12.75" hidden="1" customHeight="1" x14ac:dyDescent="0.2"/>
    <row r="212" spans="1:10" ht="12.75" hidden="1" customHeight="1" x14ac:dyDescent="0.2"/>
    <row r="213" spans="1:10" ht="12.75" hidden="1" customHeight="1" x14ac:dyDescent="0.2"/>
    <row r="214" spans="1:10" ht="12.75" hidden="1" customHeight="1" x14ac:dyDescent="0.2"/>
    <row r="215" spans="1:10" x14ac:dyDescent="0.2">
      <c r="A215" s="41"/>
      <c r="B215" s="58"/>
      <c r="C215" s="58"/>
      <c r="D215" s="58"/>
      <c r="E215" s="41"/>
      <c r="F215" s="41"/>
      <c r="G215" s="58"/>
      <c r="H215" s="58"/>
      <c r="I215" s="58"/>
      <c r="J215" s="41"/>
    </row>
    <row r="216" spans="1:10" x14ac:dyDescent="0.2">
      <c r="A216" s="41"/>
      <c r="B216" s="59"/>
      <c r="C216" s="41"/>
      <c r="D216" s="41"/>
      <c r="E216" s="41"/>
      <c r="F216" s="41"/>
      <c r="G216" s="60"/>
      <c r="H216" s="58"/>
      <c r="I216" s="58"/>
      <c r="J216" s="41"/>
    </row>
    <row r="217" spans="1:10" ht="15" x14ac:dyDescent="0.2">
      <c r="A217" s="41"/>
      <c r="B217" s="61"/>
      <c r="C217" s="41"/>
      <c r="D217" s="57" t="s">
        <v>31</v>
      </c>
      <c r="E217" s="57"/>
      <c r="F217" s="57"/>
      <c r="G217" s="57"/>
      <c r="H217" s="57"/>
      <c r="I217" s="57"/>
      <c r="J217" s="57"/>
    </row>
    <row r="218" spans="1:10" ht="17.25" customHeight="1" x14ac:dyDescent="0.2">
      <c r="A218" s="148" t="s">
        <v>32</v>
      </c>
      <c r="B218" s="149"/>
      <c r="C218" s="149"/>
      <c r="D218" s="149"/>
      <c r="E218" s="149"/>
      <c r="F218" s="149"/>
      <c r="G218" s="149"/>
      <c r="H218" s="149"/>
      <c r="I218" s="149"/>
      <c r="J218" s="149"/>
    </row>
    <row r="219" spans="1:10" ht="15" x14ac:dyDescent="0.2">
      <c r="A219" s="150" t="s">
        <v>33</v>
      </c>
      <c r="B219" s="150"/>
      <c r="C219" s="150"/>
      <c r="D219" s="150"/>
      <c r="E219" s="150"/>
      <c r="F219" s="150"/>
      <c r="G219" s="150"/>
      <c r="H219" s="150"/>
      <c r="I219" s="150"/>
      <c r="J219" s="150"/>
    </row>
  </sheetData>
  <mergeCells count="68">
    <mergeCell ref="F70:G70"/>
    <mergeCell ref="H70:I70"/>
    <mergeCell ref="A218:J218"/>
    <mergeCell ref="A219:J219"/>
    <mergeCell ref="G9:J9"/>
    <mergeCell ref="B61:H61"/>
    <mergeCell ref="B63:H63"/>
    <mergeCell ref="B66:D66"/>
    <mergeCell ref="F68:G68"/>
    <mergeCell ref="H68:I68"/>
    <mergeCell ref="F69:G69"/>
    <mergeCell ref="H69:I69"/>
    <mergeCell ref="F54:G54"/>
    <mergeCell ref="H54:I54"/>
    <mergeCell ref="F58:G58"/>
    <mergeCell ref="B60:E60"/>
    <mergeCell ref="F60:G60"/>
    <mergeCell ref="H60:I60"/>
    <mergeCell ref="B45:H45"/>
    <mergeCell ref="B47:H47"/>
    <mergeCell ref="B50:D50"/>
    <mergeCell ref="F52:G52"/>
    <mergeCell ref="H52:I52"/>
    <mergeCell ref="F53:G53"/>
    <mergeCell ref="H53:I53"/>
    <mergeCell ref="B44:E44"/>
    <mergeCell ref="F44:G44"/>
    <mergeCell ref="H44:I44"/>
    <mergeCell ref="A28:J28"/>
    <mergeCell ref="B29:C29"/>
    <mergeCell ref="E29:F29"/>
    <mergeCell ref="G29:H29"/>
    <mergeCell ref="A30:I30"/>
    <mergeCell ref="F31:G31"/>
    <mergeCell ref="H31:I31"/>
    <mergeCell ref="A32:J32"/>
    <mergeCell ref="A35:J35"/>
    <mergeCell ref="A36:J36"/>
    <mergeCell ref="A37:J37"/>
    <mergeCell ref="F42:G42"/>
    <mergeCell ref="A23:E23"/>
    <mergeCell ref="H23:I23"/>
    <mergeCell ref="A24:E24"/>
    <mergeCell ref="H24:I24"/>
    <mergeCell ref="A27:E27"/>
    <mergeCell ref="H27:I27"/>
    <mergeCell ref="A25:G25"/>
    <mergeCell ref="H25:I25"/>
    <mergeCell ref="A26:G26"/>
    <mergeCell ref="H26:I26"/>
    <mergeCell ref="A22:E22"/>
    <mergeCell ref="H22:I22"/>
    <mergeCell ref="B10:I10"/>
    <mergeCell ref="B12:E12"/>
    <mergeCell ref="F12:G12"/>
    <mergeCell ref="H12:I12"/>
    <mergeCell ref="B13:C13"/>
    <mergeCell ref="B14:I14"/>
    <mergeCell ref="B16:I18"/>
    <mergeCell ref="A20:F20"/>
    <mergeCell ref="H20:I20"/>
    <mergeCell ref="A21:E21"/>
    <mergeCell ref="H21:I21"/>
    <mergeCell ref="A3:J3"/>
    <mergeCell ref="A4:J4"/>
    <mergeCell ref="A5:J5"/>
    <mergeCell ref="A6:J6"/>
    <mergeCell ref="A7:J7"/>
  </mergeCells>
  <hyperlinks>
    <hyperlink ref="A218" r:id="rId1" display="mailto:asociacionindigenalewashii@gmail.com"/>
  </hyperlinks>
  <pageMargins left="0.70866141732283472" right="0.70866141732283472" top="0.74803149606299213" bottom="0.74803149606299213" header="0.31496062992125984" footer="0.31496062992125984"/>
  <pageSetup scale="87" orientation="portrait" r:id="rId2"/>
  <drawing r:id="rId3"/>
  <legacyDrawing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"/>
  <sheetViews>
    <sheetView tabSelected="1" view="pageBreakPreview" zoomScaleNormal="100" zoomScaleSheetLayoutView="100" workbookViewId="0">
      <selection activeCell="J6" sqref="J6"/>
    </sheetView>
  </sheetViews>
  <sheetFormatPr baseColWidth="10" defaultRowHeight="12.75" x14ac:dyDescent="0.2"/>
  <cols>
    <col min="1" max="1" width="35.5703125" customWidth="1"/>
    <col min="2" max="2" width="15.7109375" customWidth="1"/>
    <col min="3" max="3" width="19.7109375" customWidth="1"/>
    <col min="4" max="5" width="14.42578125" customWidth="1"/>
    <col min="6" max="6" width="13.28515625" customWidth="1"/>
    <col min="7" max="7" width="13" customWidth="1"/>
    <col min="8" max="8" width="15.42578125" customWidth="1"/>
    <col min="9" max="9" width="18.28515625" customWidth="1"/>
    <col min="10" max="10" width="10.42578125" customWidth="1"/>
    <col min="11" max="11" width="14.28515625" customWidth="1"/>
    <col min="12" max="12" width="11.85546875" customWidth="1"/>
    <col min="13" max="13" width="20.85546875" customWidth="1"/>
  </cols>
  <sheetData>
    <row r="1" spans="1:13" ht="45.75" customHeight="1" thickTop="1" x14ac:dyDescent="0.2">
      <c r="A1" s="172" t="s">
        <v>59</v>
      </c>
      <c r="B1" s="174" t="s">
        <v>60</v>
      </c>
      <c r="C1" s="180" t="s">
        <v>79</v>
      </c>
      <c r="D1" s="176" t="s">
        <v>61</v>
      </c>
      <c r="E1" s="176"/>
      <c r="F1" s="176" t="s">
        <v>67</v>
      </c>
      <c r="G1" s="176" t="s">
        <v>62</v>
      </c>
      <c r="H1" s="178" t="s">
        <v>66</v>
      </c>
      <c r="I1" s="182" t="s">
        <v>74</v>
      </c>
      <c r="J1" s="183"/>
      <c r="K1" s="82" t="s">
        <v>63</v>
      </c>
      <c r="L1" s="83" t="s">
        <v>73</v>
      </c>
      <c r="M1" s="93" t="s">
        <v>80</v>
      </c>
    </row>
    <row r="2" spans="1:13" ht="25.5" customHeight="1" x14ac:dyDescent="0.2">
      <c r="A2" s="173"/>
      <c r="B2" s="175"/>
      <c r="C2" s="181"/>
      <c r="D2" s="177"/>
      <c r="E2" s="177"/>
      <c r="F2" s="177"/>
      <c r="G2" s="177"/>
      <c r="H2" s="179"/>
      <c r="I2" s="184"/>
      <c r="J2" s="185"/>
      <c r="K2" s="77"/>
    </row>
    <row r="3" spans="1:13" ht="26.1" customHeight="1" x14ac:dyDescent="0.2">
      <c r="A3" s="91" t="str">
        <f>+AMBIENTAL!B12</f>
        <v xml:space="preserve">JONATÁN DAVID WILCHES JULIO </v>
      </c>
      <c r="B3" s="92">
        <f>+AMBIENTAL!B13</f>
        <v>1118846783</v>
      </c>
      <c r="C3" s="92" t="str">
        <f>+AMBIENTAL!G9</f>
        <v>08-23-01</v>
      </c>
      <c r="D3" s="87">
        <f>+AMBIENTAL!H22</f>
        <v>1800000</v>
      </c>
      <c r="E3" s="78" t="s">
        <v>64</v>
      </c>
      <c r="F3" s="87">
        <f>+AMBIENTAL!H23</f>
        <v>180000</v>
      </c>
      <c r="G3" s="87">
        <f>+D3-F3</f>
        <v>1620000</v>
      </c>
      <c r="H3" s="85">
        <f>+F3</f>
        <v>180000</v>
      </c>
      <c r="I3" s="78">
        <v>100000</v>
      </c>
      <c r="J3" s="78"/>
      <c r="K3" s="89">
        <f>SUM(G3:J3)</f>
        <v>1900000</v>
      </c>
      <c r="L3" s="84">
        <f>SUM(J3:J3)</f>
        <v>0</v>
      </c>
      <c r="M3" s="76">
        <f>+K3+F3</f>
        <v>2080000</v>
      </c>
    </row>
    <row r="4" spans="1:13" ht="26.1" customHeight="1" x14ac:dyDescent="0.2">
      <c r="A4" s="91" t="str">
        <f>+PSICOSOCIAL!B12</f>
        <v xml:space="preserve">HEIDIS EPIEYU GIRNU </v>
      </c>
      <c r="B4" s="92">
        <f>+PSICOSOCIAL!B13</f>
        <v>27028833</v>
      </c>
      <c r="C4" s="92" t="str">
        <f>+PSICOSOCIAL!G9</f>
        <v>08-23-02</v>
      </c>
      <c r="D4" s="87">
        <f>+PSICOSOCIAL!H22</f>
        <v>1800000</v>
      </c>
      <c r="E4" s="78" t="s">
        <v>64</v>
      </c>
      <c r="F4" s="87">
        <f>+PSICOSOCIAL!H23</f>
        <v>180000</v>
      </c>
      <c r="G4" s="87">
        <f t="shared" ref="G4:G11" si="0">+D4-F4</f>
        <v>1620000</v>
      </c>
      <c r="H4" s="85">
        <f t="shared" ref="H4:H9" si="1">+F4</f>
        <v>180000</v>
      </c>
      <c r="I4" s="78">
        <v>120000</v>
      </c>
      <c r="J4" s="78"/>
      <c r="K4" s="89">
        <f>SUM(G4:J4)</f>
        <v>1920000</v>
      </c>
      <c r="L4" s="84">
        <f>SUM(J4:J4)</f>
        <v>0</v>
      </c>
      <c r="M4" s="76">
        <f>+K4+F4</f>
        <v>2100000</v>
      </c>
    </row>
    <row r="5" spans="1:13" ht="26.1" customHeight="1" x14ac:dyDescent="0.2">
      <c r="A5" s="91" t="str">
        <f>+'SABEDOR ANCESTRAL'!B12</f>
        <v xml:space="preserve">VICTOR  EPINAYU </v>
      </c>
      <c r="B5" s="92">
        <f>+'SABEDOR ANCESTRAL'!B13:C13</f>
        <v>84040183</v>
      </c>
      <c r="C5" s="92" t="str">
        <f>+'SABEDOR ANCESTRAL'!G9</f>
        <v>08-23-03</v>
      </c>
      <c r="D5" s="87">
        <f>+'SABEDOR ANCESTRAL'!H22</f>
        <v>3500000</v>
      </c>
      <c r="E5" s="78" t="s">
        <v>65</v>
      </c>
      <c r="F5" s="87">
        <f>+'SABEDOR ANCESTRAL'!H23</f>
        <v>210000</v>
      </c>
      <c r="G5" s="87">
        <f t="shared" si="0"/>
        <v>3290000</v>
      </c>
      <c r="H5" s="85">
        <f t="shared" si="1"/>
        <v>210000</v>
      </c>
      <c r="I5" s="78"/>
      <c r="J5" s="78"/>
      <c r="K5" s="89">
        <f>SUM(G5:J5)</f>
        <v>3500000</v>
      </c>
      <c r="L5" s="84">
        <f>SUM(J5:J5)</f>
        <v>0</v>
      </c>
      <c r="M5" s="76">
        <f>+K5+F5</f>
        <v>3710000</v>
      </c>
    </row>
    <row r="6" spans="1:13" ht="26.1" customHeight="1" x14ac:dyDescent="0.2">
      <c r="A6" s="91" t="str">
        <f>+DINAMIZADOR!B12</f>
        <v xml:space="preserve">RAFAEL SANTOS EPINAYU URIANA </v>
      </c>
      <c r="B6" s="92">
        <f>+DINAMIZADOR!B13</f>
        <v>1123992854</v>
      </c>
      <c r="C6" s="92" t="str">
        <f>+DINAMIZADOR!G9</f>
        <v>08-23-04</v>
      </c>
      <c r="D6" s="87">
        <f>+DINAMIZADOR!H22</f>
        <v>3500000</v>
      </c>
      <c r="E6" s="78" t="s">
        <v>65</v>
      </c>
      <c r="F6" s="87">
        <f>+DINAMIZADOR!H23</f>
        <v>210000</v>
      </c>
      <c r="G6" s="87">
        <f t="shared" si="0"/>
        <v>3290000</v>
      </c>
      <c r="H6" s="85">
        <f t="shared" si="1"/>
        <v>210000</v>
      </c>
      <c r="I6" s="78"/>
      <c r="J6" s="78">
        <v>336655</v>
      </c>
      <c r="K6" s="89">
        <f>SUM(G6:J6)</f>
        <v>3836655</v>
      </c>
      <c r="L6" s="84">
        <f>SUM(J6:J6)</f>
        <v>336655</v>
      </c>
      <c r="M6" s="76">
        <f>+K6+F6</f>
        <v>4046655</v>
      </c>
    </row>
    <row r="7" spans="1:13" ht="26.1" customHeight="1" x14ac:dyDescent="0.2">
      <c r="A7" s="91" t="str">
        <f>+'PROF. CONTABLE'!B12</f>
        <v>LAILA GONZALEZ OÑATE</v>
      </c>
      <c r="B7" s="92">
        <f>+'PROF. CONTABLE'!B13:C13</f>
        <v>49733846</v>
      </c>
      <c r="C7" s="92" t="str">
        <f>+'PROF. CONTABLE'!G9</f>
        <v>08-23-05</v>
      </c>
      <c r="D7" s="87">
        <f>+'PROF. CONTABLE'!H22</f>
        <v>6125000</v>
      </c>
      <c r="E7" s="78" t="s">
        <v>64</v>
      </c>
      <c r="F7" s="87">
        <f>+'PROF. CONTABLE'!H23</f>
        <v>612500</v>
      </c>
      <c r="G7" s="87">
        <f t="shared" si="0"/>
        <v>5512500</v>
      </c>
      <c r="H7" s="85">
        <f t="shared" si="1"/>
        <v>612500</v>
      </c>
      <c r="I7" s="78"/>
      <c r="J7" s="78"/>
      <c r="K7" s="89">
        <f>SUM(G7:J7)</f>
        <v>6125000</v>
      </c>
      <c r="L7" s="84">
        <f>SUM(J7:J7)</f>
        <v>0</v>
      </c>
      <c r="M7" s="76">
        <f>+K7+F7</f>
        <v>6737500</v>
      </c>
    </row>
    <row r="8" spans="1:13" ht="26.1" customHeight="1" x14ac:dyDescent="0.2">
      <c r="A8" s="91" t="str">
        <f>+'AUX. ADMINISTRATIVO'!B12</f>
        <v xml:space="preserve">ROSA ELENA URIANA GOMEZ </v>
      </c>
      <c r="B8" s="92">
        <f>+'AUX. ADMINISTRATIVO'!B13:C13</f>
        <v>1006916766</v>
      </c>
      <c r="C8" s="92" t="str">
        <f>+'AUX. ADMINISTRATIVO'!G9</f>
        <v>08-23-06</v>
      </c>
      <c r="D8" s="87">
        <f>+'AUX. ADMINISTRATIVO'!H22</f>
        <v>1750000</v>
      </c>
      <c r="E8" s="78" t="s">
        <v>65</v>
      </c>
      <c r="F8" s="87">
        <f>+'AUX. ADMINISTRATIVO'!H23</f>
        <v>105000</v>
      </c>
      <c r="G8" s="87">
        <f t="shared" si="0"/>
        <v>1645000</v>
      </c>
      <c r="H8" s="85">
        <f t="shared" si="1"/>
        <v>105000</v>
      </c>
      <c r="I8" s="78"/>
      <c r="J8" s="78"/>
      <c r="K8" s="90">
        <f>SUM(G8:J8)</f>
        <v>1750000</v>
      </c>
      <c r="L8" s="76">
        <f>SUM(J8:J8)</f>
        <v>0</v>
      </c>
      <c r="M8" s="76">
        <f>+K8+F8</f>
        <v>1855000</v>
      </c>
    </row>
    <row r="9" spans="1:13" ht="26.1" customHeight="1" x14ac:dyDescent="0.2">
      <c r="A9" s="91" t="str">
        <f>+'ASESOR JURIDICO'!B12</f>
        <v xml:space="preserve">ELOHA JOSE DIAZ MARTINEZ </v>
      </c>
      <c r="B9" s="92">
        <f>+'ASESOR JURIDICO'!B13:C13</f>
        <v>40937455</v>
      </c>
      <c r="C9" s="92" t="str">
        <f>+'ASESOR JURIDICO'!G9</f>
        <v>08-23-07</v>
      </c>
      <c r="D9" s="87">
        <f>+'ASESOR JURIDICO'!H22</f>
        <v>7875000</v>
      </c>
      <c r="E9" s="78" t="s">
        <v>64</v>
      </c>
      <c r="F9" s="87">
        <f>+'ASESOR JURIDICO'!H23</f>
        <v>787500</v>
      </c>
      <c r="G9" s="87">
        <f t="shared" si="0"/>
        <v>7087500</v>
      </c>
      <c r="H9" s="85">
        <f t="shared" si="1"/>
        <v>787500</v>
      </c>
      <c r="I9" s="78"/>
      <c r="J9" s="78"/>
      <c r="K9" s="90">
        <f>SUM(G9:J9)</f>
        <v>7875000</v>
      </c>
      <c r="L9" s="76">
        <f>SUM(J9:J9)</f>
        <v>0</v>
      </c>
      <c r="M9" s="76">
        <f>+K9+F9</f>
        <v>8662500</v>
      </c>
    </row>
    <row r="10" spans="1:13" ht="26.1" customHeight="1" x14ac:dyDescent="0.2">
      <c r="A10" s="91" t="str">
        <f>+'SERVICIO TRANSPORTE'!B12</f>
        <v xml:space="preserve">OCTAVIO RAFAEL OÑATE GOMEZ </v>
      </c>
      <c r="B10" s="92">
        <f>+'SERVICIO TRANSPORTE'!B13:C13</f>
        <v>77016384</v>
      </c>
      <c r="C10" s="92" t="str">
        <f>+'SERVICIO TRANSPORTE'!G9</f>
        <v>08-23-08</v>
      </c>
      <c r="D10" s="87">
        <f>+'SERVICIO TRANSPORTE'!H22</f>
        <v>3375000</v>
      </c>
      <c r="E10" s="78" t="s">
        <v>65</v>
      </c>
      <c r="F10" s="87">
        <f>+'SERVICIO TRANSPORTE'!H23</f>
        <v>135000</v>
      </c>
      <c r="G10" s="87">
        <f t="shared" si="0"/>
        <v>3240000</v>
      </c>
      <c r="H10" s="78"/>
      <c r="I10" s="78"/>
      <c r="J10" s="78"/>
      <c r="K10" s="90">
        <f>SUM(G10:J10)</f>
        <v>3240000</v>
      </c>
      <c r="L10" s="76">
        <f>SUM(J10:J10)</f>
        <v>0</v>
      </c>
      <c r="M10" s="76">
        <f>+K10+F10</f>
        <v>3375000</v>
      </c>
    </row>
    <row r="11" spans="1:13" ht="26.1" customHeight="1" x14ac:dyDescent="0.2">
      <c r="A11" s="101" t="str">
        <f>+'CARLOS DIAZ'!B12</f>
        <v>CARLOS ALBERTO DIAZ CARRILLO</v>
      </c>
      <c r="B11" s="102">
        <f>+'CARLOS DIAZ'!B13:C13</f>
        <v>73093956</v>
      </c>
      <c r="C11" s="102" t="str">
        <f>+'CARLOS DIAZ'!G9</f>
        <v>08-23-09</v>
      </c>
      <c r="D11" s="103">
        <f>+'CARLOS DIAZ'!H22</f>
        <v>22222222.22222222</v>
      </c>
      <c r="E11" s="78" t="s">
        <v>64</v>
      </c>
      <c r="F11" s="103">
        <f>+'CARLOS DIAZ'!H23</f>
        <v>2222222</v>
      </c>
      <c r="G11" s="87">
        <f t="shared" si="0"/>
        <v>20000000.22222222</v>
      </c>
      <c r="H11" s="104"/>
      <c r="I11" s="104"/>
      <c r="J11" s="104"/>
      <c r="K11" s="90">
        <f>SUM(G11:J11)</f>
        <v>20000000.22222222</v>
      </c>
      <c r="L11" s="76"/>
      <c r="M11" s="76"/>
    </row>
    <row r="12" spans="1:13" ht="20.100000000000001" customHeight="1" thickBot="1" x14ac:dyDescent="0.3">
      <c r="A12" s="79" t="s">
        <v>68</v>
      </c>
      <c r="B12" s="80"/>
      <c r="C12" s="80"/>
      <c r="D12" s="81"/>
      <c r="E12" s="81"/>
      <c r="F12" s="86">
        <f>SUM(F3:F11)</f>
        <v>4642222</v>
      </c>
      <c r="G12" s="81"/>
      <c r="H12" s="81"/>
      <c r="I12" s="81"/>
      <c r="J12" s="81"/>
      <c r="K12" s="88">
        <f>SUM(K3:K11)</f>
        <v>50146655.222222224</v>
      </c>
      <c r="M12" s="100">
        <f>SUM(M3:M10)</f>
        <v>32566655</v>
      </c>
    </row>
    <row r="13" spans="1:13" ht="13.5" thickTop="1" x14ac:dyDescent="0.2"/>
  </sheetData>
  <mergeCells count="8">
    <mergeCell ref="A1:A2"/>
    <mergeCell ref="B1:B2"/>
    <mergeCell ref="D1:E2"/>
    <mergeCell ref="F1:F2"/>
    <mergeCell ref="G1:G2"/>
    <mergeCell ref="H1:H2"/>
    <mergeCell ref="C1:C2"/>
    <mergeCell ref="I1:J2"/>
  </mergeCells>
  <printOptions horizontalCentered="1" verticalCentered="1"/>
  <pageMargins left="1.4960629921259843" right="0.11811023622047245" top="0.15748031496062992" bottom="0.15748031496062992" header="0.31496062992125984" footer="0.31496062992125984"/>
  <pageSetup paperSize="5" scale="87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219"/>
  <sheetViews>
    <sheetView showGridLines="0" view="pageBreakPreview" zoomScaleNormal="100" zoomScaleSheetLayoutView="100" workbookViewId="0">
      <selection activeCell="B10" sqref="B10:I10"/>
    </sheetView>
  </sheetViews>
  <sheetFormatPr baseColWidth="10" defaultColWidth="9.140625" defaultRowHeight="12.75" x14ac:dyDescent="0.2"/>
  <cols>
    <col min="1" max="1" width="17.28515625" style="14" customWidth="1"/>
    <col min="2" max="2" width="14" style="14" customWidth="1"/>
    <col min="3" max="3" width="10.42578125" style="14" customWidth="1"/>
    <col min="4" max="4" width="8.7109375" style="14" customWidth="1"/>
    <col min="5" max="5" width="13.28515625" style="14" customWidth="1"/>
    <col min="6" max="6" width="12.5703125" style="14" customWidth="1"/>
    <col min="7" max="7" width="3.28515625" style="14" bestFit="1" customWidth="1"/>
    <col min="8" max="8" width="7.85546875" style="14" customWidth="1"/>
    <col min="9" max="9" width="14.140625" style="14" customWidth="1"/>
    <col min="10" max="10" width="3.140625" style="14" customWidth="1"/>
    <col min="11" max="11" width="5.5703125" style="14" customWidth="1"/>
    <col min="12" max="12" width="15.7109375" style="14" customWidth="1"/>
    <col min="13" max="16384" width="9.140625" style="14"/>
  </cols>
  <sheetData>
    <row r="1" spans="1:12" x14ac:dyDescent="0.2">
      <c r="A1" s="41"/>
      <c r="B1" s="42"/>
      <c r="C1" s="42"/>
      <c r="D1" s="42"/>
      <c r="E1" s="42"/>
      <c r="F1" s="42"/>
      <c r="G1" s="42"/>
      <c r="H1" s="42"/>
      <c r="I1" s="42"/>
    </row>
    <row r="2" spans="1:12" x14ac:dyDescent="0.2">
      <c r="A2" s="41"/>
      <c r="B2" s="41"/>
      <c r="C2" s="41"/>
      <c r="D2" s="41"/>
      <c r="E2" s="41"/>
      <c r="F2" s="41"/>
      <c r="G2" s="41"/>
      <c r="H2" s="41"/>
      <c r="I2" s="41"/>
    </row>
    <row r="3" spans="1:12" ht="15.75" x14ac:dyDescent="0.2">
      <c r="A3" s="131" t="s">
        <v>26</v>
      </c>
      <c r="B3" s="131"/>
      <c r="C3" s="131"/>
      <c r="D3" s="131"/>
      <c r="E3" s="131"/>
      <c r="F3" s="131"/>
      <c r="G3" s="131"/>
      <c r="H3" s="131"/>
      <c r="I3" s="131"/>
      <c r="J3" s="131"/>
    </row>
    <row r="4" spans="1:12" ht="18.75" x14ac:dyDescent="0.2">
      <c r="A4" s="130" t="s">
        <v>27</v>
      </c>
      <c r="B4" s="130"/>
      <c r="C4" s="130"/>
      <c r="D4" s="130"/>
      <c r="E4" s="130"/>
      <c r="F4" s="130"/>
      <c r="G4" s="130"/>
      <c r="H4" s="130"/>
      <c r="I4" s="130"/>
      <c r="J4" s="130"/>
    </row>
    <row r="5" spans="1:12" ht="15" x14ac:dyDescent="0.2">
      <c r="A5" s="129" t="s">
        <v>28</v>
      </c>
      <c r="B5" s="129"/>
      <c r="C5" s="129"/>
      <c r="D5" s="129"/>
      <c r="E5" s="129"/>
      <c r="F5" s="129"/>
      <c r="G5" s="129"/>
      <c r="H5" s="129"/>
      <c r="I5" s="129"/>
      <c r="J5" s="129"/>
    </row>
    <row r="6" spans="1:12" ht="15.75" x14ac:dyDescent="0.2">
      <c r="A6" s="131" t="s">
        <v>29</v>
      </c>
      <c r="B6" s="131"/>
      <c r="C6" s="131"/>
      <c r="D6" s="131"/>
      <c r="E6" s="131"/>
      <c r="F6" s="131"/>
      <c r="G6" s="131"/>
      <c r="H6" s="131"/>
      <c r="I6" s="131"/>
      <c r="J6" s="131"/>
    </row>
    <row r="7" spans="1:12" ht="18.75" x14ac:dyDescent="0.3">
      <c r="A7" s="151" t="s">
        <v>30</v>
      </c>
      <c r="B7" s="151"/>
      <c r="C7" s="151"/>
      <c r="D7" s="151"/>
      <c r="E7" s="151"/>
      <c r="F7" s="151"/>
      <c r="G7" s="151"/>
      <c r="H7" s="151"/>
      <c r="I7" s="151"/>
      <c r="J7" s="151"/>
    </row>
    <row r="8" spans="1:12" ht="8.25" customHeight="1" thickBot="1" x14ac:dyDescent="0.25"/>
    <row r="9" spans="1:12" ht="30.75" thickTop="1" x14ac:dyDescent="0.4">
      <c r="A9" s="74" t="s">
        <v>57</v>
      </c>
      <c r="B9" s="75"/>
      <c r="C9" s="75"/>
      <c r="D9" s="75"/>
      <c r="E9" s="75"/>
      <c r="F9" s="75"/>
      <c r="G9" s="146" t="s">
        <v>101</v>
      </c>
      <c r="H9" s="146"/>
      <c r="I9" s="146"/>
      <c r="J9" s="147"/>
    </row>
    <row r="10" spans="1:12" ht="23.25" x14ac:dyDescent="0.35">
      <c r="A10" s="43" t="s">
        <v>20</v>
      </c>
      <c r="B10" s="153" t="str">
        <f>+AMBIENTAL!B10:I10</f>
        <v>16 de Agosto de 2023</v>
      </c>
      <c r="C10" s="153"/>
      <c r="D10" s="153"/>
      <c r="E10" s="153"/>
      <c r="F10" s="153"/>
      <c r="G10" s="153"/>
      <c r="H10" s="153"/>
      <c r="I10" s="153"/>
      <c r="J10" s="44"/>
    </row>
    <row r="11" spans="1:12" s="17" customFormat="1" ht="14.25" x14ac:dyDescent="0.2">
      <c r="A11" s="45"/>
      <c r="B11" s="8"/>
      <c r="C11" s="8"/>
      <c r="D11" s="8"/>
      <c r="E11" s="8"/>
      <c r="F11" s="8"/>
      <c r="G11" s="8"/>
      <c r="H11" s="8"/>
      <c r="I11" s="8"/>
      <c r="J11" s="46"/>
      <c r="L11" s="18"/>
    </row>
    <row r="12" spans="1:12" s="17" customFormat="1" ht="21.95" customHeight="1" x14ac:dyDescent="0.25">
      <c r="A12" s="47" t="s">
        <v>19</v>
      </c>
      <c r="B12" s="122" t="s">
        <v>88</v>
      </c>
      <c r="C12" s="122"/>
      <c r="D12" s="122"/>
      <c r="E12" s="122"/>
      <c r="F12" s="123" t="s">
        <v>3</v>
      </c>
      <c r="G12" s="124"/>
      <c r="H12" s="167">
        <f>+H27</f>
        <v>20000000.22222222</v>
      </c>
      <c r="I12" s="168"/>
      <c r="J12" s="48"/>
      <c r="L12" s="72"/>
    </row>
    <row r="13" spans="1:12" s="17" customFormat="1" ht="21.95" customHeight="1" x14ac:dyDescent="0.25">
      <c r="A13" s="47" t="s">
        <v>35</v>
      </c>
      <c r="B13" s="152">
        <v>73093956</v>
      </c>
      <c r="C13" s="152"/>
      <c r="D13" s="96" t="s">
        <v>38</v>
      </c>
      <c r="E13" s="96"/>
      <c r="F13" s="73" t="s">
        <v>89</v>
      </c>
      <c r="G13" s="2"/>
      <c r="H13" s="3"/>
      <c r="I13" s="3"/>
      <c r="J13" s="48"/>
      <c r="L13" s="73"/>
    </row>
    <row r="14" spans="1:12" s="17" customFormat="1" ht="21.95" customHeight="1" x14ac:dyDescent="0.25">
      <c r="A14" s="49" t="s">
        <v>3</v>
      </c>
      <c r="B14" s="115" t="str">
        <f>PESOSMN(H12)</f>
        <v>Veinte Millones Pesos 22/100 Ctvs.</v>
      </c>
      <c r="C14" s="115"/>
      <c r="D14" s="115"/>
      <c r="E14" s="115"/>
      <c r="F14" s="115"/>
      <c r="G14" s="115"/>
      <c r="H14" s="115"/>
      <c r="I14" s="115"/>
      <c r="J14" s="50"/>
    </row>
    <row r="15" spans="1:12" s="17" customFormat="1" ht="15" thickBot="1" x14ac:dyDescent="0.25">
      <c r="A15" s="45"/>
      <c r="B15" s="8"/>
      <c r="C15" s="8"/>
      <c r="D15" s="8"/>
      <c r="E15" s="8"/>
      <c r="F15" s="8"/>
      <c r="G15" s="8"/>
      <c r="H15" s="8"/>
      <c r="I15" s="8"/>
      <c r="J15" s="46"/>
    </row>
    <row r="16" spans="1:12" s="17" customFormat="1" ht="22.5" customHeight="1" thickTop="1" x14ac:dyDescent="0.25">
      <c r="A16" s="47" t="s">
        <v>6</v>
      </c>
      <c r="B16" s="156" t="s">
        <v>100</v>
      </c>
      <c r="C16" s="157"/>
      <c r="D16" s="157"/>
      <c r="E16" s="157"/>
      <c r="F16" s="157"/>
      <c r="G16" s="157"/>
      <c r="H16" s="157"/>
      <c r="I16" s="158"/>
      <c r="J16" s="46"/>
    </row>
    <row r="17" spans="1:10" s="17" customFormat="1" ht="15" x14ac:dyDescent="0.25">
      <c r="A17" s="51"/>
      <c r="B17" s="159"/>
      <c r="C17" s="160"/>
      <c r="D17" s="160"/>
      <c r="E17" s="160"/>
      <c r="F17" s="160"/>
      <c r="G17" s="160"/>
      <c r="H17" s="160"/>
      <c r="I17" s="161"/>
      <c r="J17" s="46"/>
    </row>
    <row r="18" spans="1:10" s="17" customFormat="1" ht="15.75" thickBot="1" x14ac:dyDescent="0.3">
      <c r="A18" s="51"/>
      <c r="B18" s="162"/>
      <c r="C18" s="163"/>
      <c r="D18" s="163"/>
      <c r="E18" s="163"/>
      <c r="F18" s="163"/>
      <c r="G18" s="163"/>
      <c r="H18" s="163"/>
      <c r="I18" s="164"/>
      <c r="J18" s="46"/>
    </row>
    <row r="19" spans="1:10" s="17" customFormat="1" ht="15.75" thickTop="1" x14ac:dyDescent="0.25">
      <c r="A19" s="51"/>
      <c r="B19" s="63"/>
      <c r="C19" s="63"/>
      <c r="D19" s="63"/>
      <c r="E19" s="63"/>
      <c r="F19" s="63"/>
      <c r="G19" s="63"/>
      <c r="H19" s="63"/>
      <c r="I19" s="63"/>
      <c r="J19" s="46"/>
    </row>
    <row r="20" spans="1:10" s="17" customFormat="1" ht="18" x14ac:dyDescent="0.25">
      <c r="A20" s="105" t="s">
        <v>42</v>
      </c>
      <c r="B20" s="106"/>
      <c r="C20" s="106"/>
      <c r="D20" s="106"/>
      <c r="E20" s="106"/>
      <c r="F20" s="106"/>
      <c r="G20" s="63"/>
      <c r="H20" s="167">
        <f>+ROUND(H22/(1+F21),0)</f>
        <v>22222222</v>
      </c>
      <c r="I20" s="168"/>
      <c r="J20" s="46"/>
    </row>
    <row r="21" spans="1:10" s="17" customFormat="1" ht="18" x14ac:dyDescent="0.25">
      <c r="A21" s="105" t="s">
        <v>37</v>
      </c>
      <c r="B21" s="106"/>
      <c r="C21" s="106"/>
      <c r="D21" s="106"/>
      <c r="E21" s="106"/>
      <c r="F21" s="5">
        <v>0</v>
      </c>
      <c r="G21" s="22"/>
      <c r="H21" s="137">
        <f>+ROUND(F21*H20,0)</f>
        <v>0</v>
      </c>
      <c r="I21" s="138"/>
      <c r="J21" s="46"/>
    </row>
    <row r="22" spans="1:10" s="17" customFormat="1" ht="18" x14ac:dyDescent="0.25">
      <c r="A22" s="105" t="s">
        <v>72</v>
      </c>
      <c r="B22" s="106"/>
      <c r="C22" s="106"/>
      <c r="D22" s="106"/>
      <c r="E22" s="106"/>
      <c r="F22" s="63"/>
      <c r="G22" s="63"/>
      <c r="H22" s="107">
        <f>20000000/0.9</f>
        <v>22222222.22222222</v>
      </c>
      <c r="I22" s="108"/>
      <c r="J22" s="46"/>
    </row>
    <row r="23" spans="1:10" s="17" customFormat="1" ht="18" x14ac:dyDescent="0.25">
      <c r="A23" s="105" t="s">
        <v>43</v>
      </c>
      <c r="B23" s="106"/>
      <c r="C23" s="106"/>
      <c r="D23" s="106"/>
      <c r="E23" s="106"/>
      <c r="F23" s="5">
        <v>0.1</v>
      </c>
      <c r="G23" s="63"/>
      <c r="H23" s="137">
        <f>+ROUND(F23*H20,0)</f>
        <v>2222222</v>
      </c>
      <c r="I23" s="138"/>
      <c r="J23" s="46"/>
    </row>
    <row r="24" spans="1:10" s="17" customFormat="1" ht="18" x14ac:dyDescent="0.25">
      <c r="A24" s="105" t="s">
        <v>36</v>
      </c>
      <c r="B24" s="106"/>
      <c r="C24" s="106"/>
      <c r="D24" s="106"/>
      <c r="E24" s="106"/>
      <c r="F24" s="5"/>
      <c r="G24" s="63"/>
      <c r="H24" s="107"/>
      <c r="I24" s="108"/>
      <c r="J24" s="46"/>
    </row>
    <row r="25" spans="1:10" s="17" customFormat="1" ht="18" x14ac:dyDescent="0.25">
      <c r="A25" s="105" t="s">
        <v>69</v>
      </c>
      <c r="B25" s="106"/>
      <c r="C25" s="106"/>
      <c r="D25" s="106"/>
      <c r="E25" s="106"/>
      <c r="F25" s="106"/>
      <c r="G25" s="112"/>
      <c r="H25" s="170">
        <f>+'RESUMEN de PAGOS'!L10</f>
        <v>0</v>
      </c>
      <c r="I25" s="171"/>
      <c r="J25" s="46"/>
    </row>
    <row r="26" spans="1:10" s="17" customFormat="1" ht="18" x14ac:dyDescent="0.25">
      <c r="A26" s="105" t="s">
        <v>70</v>
      </c>
      <c r="B26" s="106"/>
      <c r="C26" s="106"/>
      <c r="D26" s="106"/>
      <c r="E26" s="106"/>
      <c r="F26" s="106"/>
      <c r="G26" s="112"/>
      <c r="H26" s="170">
        <v>0</v>
      </c>
      <c r="I26" s="171"/>
      <c r="J26" s="46"/>
    </row>
    <row r="27" spans="1:10" s="17" customFormat="1" ht="18" x14ac:dyDescent="0.25">
      <c r="A27" s="105" t="s">
        <v>71</v>
      </c>
      <c r="B27" s="106"/>
      <c r="C27" s="106"/>
      <c r="D27" s="106"/>
      <c r="E27" s="106"/>
      <c r="F27" s="7"/>
      <c r="G27" s="7"/>
      <c r="H27" s="165">
        <f>+H22-H23-H24+H25+H26</f>
        <v>20000000.22222222</v>
      </c>
      <c r="I27" s="166"/>
      <c r="J27" s="46"/>
    </row>
    <row r="28" spans="1:10" s="17" customFormat="1" ht="21.95" customHeight="1" x14ac:dyDescent="0.2">
      <c r="A28" s="141" t="s">
        <v>21</v>
      </c>
      <c r="B28" s="142"/>
      <c r="C28" s="142"/>
      <c r="D28" s="142"/>
      <c r="E28" s="142"/>
      <c r="F28" s="142"/>
      <c r="G28" s="142"/>
      <c r="H28" s="142"/>
      <c r="I28" s="142"/>
      <c r="J28" s="143"/>
    </row>
    <row r="29" spans="1:10" s="17" customFormat="1" ht="24.75" customHeight="1" x14ac:dyDescent="0.2">
      <c r="A29" s="65" t="s">
        <v>41</v>
      </c>
      <c r="B29" s="109"/>
      <c r="C29" s="109"/>
      <c r="D29" s="64" t="s">
        <v>39</v>
      </c>
      <c r="E29" s="111"/>
      <c r="F29" s="111"/>
      <c r="G29" s="110" t="s">
        <v>40</v>
      </c>
      <c r="H29" s="110"/>
      <c r="I29" s="3"/>
      <c r="J29" s="46"/>
    </row>
    <row r="30" spans="1:10" s="17" customFormat="1" ht="41.25" customHeight="1" x14ac:dyDescent="0.2">
      <c r="A30" s="132" t="s">
        <v>22</v>
      </c>
      <c r="B30" s="133"/>
      <c r="C30" s="133"/>
      <c r="D30" s="133"/>
      <c r="E30" s="133"/>
      <c r="F30" s="133"/>
      <c r="G30" s="133"/>
      <c r="H30" s="133"/>
      <c r="I30" s="133"/>
      <c r="J30" s="46"/>
    </row>
    <row r="31" spans="1:10" s="17" customFormat="1" ht="14.25" x14ac:dyDescent="0.2">
      <c r="A31" s="45"/>
      <c r="B31" s="12"/>
      <c r="C31" s="8"/>
      <c r="D31" s="8"/>
      <c r="E31" s="8"/>
      <c r="F31" s="119"/>
      <c r="G31" s="119"/>
      <c r="H31" s="128"/>
      <c r="I31" s="128"/>
      <c r="J31" s="46"/>
    </row>
    <row r="32" spans="1:10" s="17" customFormat="1" ht="24.75" x14ac:dyDescent="0.5">
      <c r="A32" s="134" t="s">
        <v>34</v>
      </c>
      <c r="B32" s="135"/>
      <c r="C32" s="135"/>
      <c r="D32" s="135"/>
      <c r="E32" s="135"/>
      <c r="F32" s="135"/>
      <c r="G32" s="135"/>
      <c r="H32" s="135"/>
      <c r="I32" s="135"/>
      <c r="J32" s="136"/>
    </row>
    <row r="33" spans="1:14" s="17" customFormat="1" ht="15" customHeight="1" x14ac:dyDescent="0.5">
      <c r="A33" s="97"/>
      <c r="B33" s="98"/>
      <c r="C33" s="98"/>
      <c r="D33" s="98"/>
      <c r="E33" s="98"/>
      <c r="F33" s="98"/>
      <c r="G33" s="98"/>
      <c r="H33" s="98"/>
      <c r="I33" s="98"/>
      <c r="J33" s="99"/>
      <c r="N33" s="24"/>
    </row>
    <row r="34" spans="1:14" s="17" customFormat="1" ht="18" customHeight="1" x14ac:dyDescent="0.5">
      <c r="A34" s="97"/>
      <c r="B34" s="98"/>
      <c r="C34" s="25"/>
      <c r="D34" s="25"/>
      <c r="E34" s="25"/>
      <c r="F34" s="25"/>
      <c r="G34" s="98"/>
      <c r="H34" s="98"/>
      <c r="I34" s="98"/>
      <c r="J34" s="99"/>
    </row>
    <row r="35" spans="1:14" s="17" customFormat="1" ht="18" customHeight="1" x14ac:dyDescent="0.25">
      <c r="A35" s="116" t="s">
        <v>23</v>
      </c>
      <c r="B35" s="117"/>
      <c r="C35" s="117"/>
      <c r="D35" s="117"/>
      <c r="E35" s="117"/>
      <c r="F35" s="117"/>
      <c r="G35" s="117"/>
      <c r="H35" s="117"/>
      <c r="I35" s="117"/>
      <c r="J35" s="118"/>
    </row>
    <row r="36" spans="1:14" s="17" customFormat="1" ht="18" customHeight="1" x14ac:dyDescent="0.25">
      <c r="A36" s="116" t="s">
        <v>24</v>
      </c>
      <c r="B36" s="117"/>
      <c r="C36" s="117"/>
      <c r="D36" s="117"/>
      <c r="E36" s="117"/>
      <c r="F36" s="117"/>
      <c r="G36" s="117"/>
      <c r="H36" s="117"/>
      <c r="I36" s="117"/>
      <c r="J36" s="118"/>
    </row>
    <row r="37" spans="1:14" s="17" customFormat="1" ht="18" customHeight="1" x14ac:dyDescent="0.25">
      <c r="A37" s="116" t="s">
        <v>25</v>
      </c>
      <c r="B37" s="117"/>
      <c r="C37" s="117"/>
      <c r="D37" s="117"/>
      <c r="E37" s="117"/>
      <c r="F37" s="117"/>
      <c r="G37" s="117"/>
      <c r="H37" s="117"/>
      <c r="I37" s="117"/>
      <c r="J37" s="118"/>
    </row>
    <row r="38" spans="1:14" s="17" customFormat="1" ht="15" thickBot="1" x14ac:dyDescent="0.25">
      <c r="A38" s="54"/>
      <c r="B38" s="55"/>
      <c r="C38" s="55"/>
      <c r="D38" s="55"/>
      <c r="E38" s="55"/>
      <c r="F38" s="55"/>
      <c r="G38" s="55"/>
      <c r="H38" s="55"/>
      <c r="I38" s="55"/>
      <c r="J38" s="56"/>
    </row>
    <row r="39" spans="1:14" s="17" customFormat="1" ht="15" thickTop="1" x14ac:dyDescent="0.2">
      <c r="A39" s="62"/>
      <c r="B39" s="8"/>
      <c r="C39" s="8"/>
      <c r="D39" s="8"/>
      <c r="E39" s="8"/>
      <c r="F39" s="8"/>
      <c r="G39" s="8"/>
      <c r="H39" s="8"/>
      <c r="I39" s="8"/>
      <c r="J39" s="8"/>
    </row>
    <row r="40" spans="1:14" x14ac:dyDescent="0.2">
      <c r="J40" s="29"/>
    </row>
    <row r="41" spans="1:14" ht="12.75" hidden="1" customHeight="1" x14ac:dyDescent="0.2"/>
    <row r="42" spans="1:14" ht="30" hidden="1" customHeight="1" x14ac:dyDescent="0.4">
      <c r="A42" s="30" t="s">
        <v>2</v>
      </c>
      <c r="B42" s="31"/>
      <c r="D42" s="95" t="s">
        <v>8</v>
      </c>
      <c r="E42" s="33">
        <f ca="1">TODAY()</f>
        <v>45516</v>
      </c>
      <c r="F42" s="121" t="s">
        <v>0</v>
      </c>
      <c r="G42" s="121"/>
      <c r="H42" s="34"/>
      <c r="I42" s="34"/>
      <c r="J42" s="13"/>
    </row>
    <row r="43" spans="1:14" s="17" customFormat="1" ht="14.25" hidden="1" customHeight="1" x14ac:dyDescent="0.2">
      <c r="A43" s="15"/>
      <c r="B43" s="8"/>
      <c r="C43" s="8"/>
      <c r="D43" s="8"/>
      <c r="E43" s="8"/>
      <c r="F43" s="8"/>
      <c r="G43" s="8"/>
      <c r="H43" s="8"/>
      <c r="I43" s="8"/>
      <c r="J43" s="16"/>
    </row>
    <row r="44" spans="1:14" s="17" customFormat="1" ht="21.95" hidden="1" customHeight="1" x14ac:dyDescent="0.25">
      <c r="A44" s="6" t="s">
        <v>4</v>
      </c>
      <c r="B44" s="122" t="s">
        <v>5</v>
      </c>
      <c r="C44" s="122"/>
      <c r="D44" s="122"/>
      <c r="E44" s="122"/>
      <c r="F44" s="123" t="s">
        <v>3</v>
      </c>
      <c r="G44" s="124"/>
      <c r="H44" s="125">
        <v>9500</v>
      </c>
      <c r="I44" s="126"/>
      <c r="J44" s="19"/>
    </row>
    <row r="45" spans="1:14" s="17" customFormat="1" ht="21.95" hidden="1" customHeight="1" x14ac:dyDescent="0.25">
      <c r="A45" s="20" t="s">
        <v>3</v>
      </c>
      <c r="B45" s="127" t="str">
        <f>PESOSMN(H44)</f>
        <v>Nueve Mil Quinientos Pesos 00/100</v>
      </c>
      <c r="C45" s="127"/>
      <c r="D45" s="127"/>
      <c r="E45" s="127"/>
      <c r="F45" s="127"/>
      <c r="G45" s="127"/>
      <c r="H45" s="127"/>
      <c r="I45" s="7"/>
      <c r="J45" s="21"/>
    </row>
    <row r="46" spans="1:14" s="17" customFormat="1" ht="14.25" hidden="1" customHeight="1" x14ac:dyDescent="0.2">
      <c r="A46" s="15"/>
      <c r="B46" s="8"/>
      <c r="C46" s="8"/>
      <c r="D46" s="8"/>
      <c r="E46" s="8"/>
      <c r="F46" s="8"/>
      <c r="G46" s="8"/>
      <c r="H46" s="8"/>
      <c r="I46" s="8"/>
      <c r="J46" s="16"/>
    </row>
    <row r="47" spans="1:14" s="17" customFormat="1" ht="15" hidden="1" customHeight="1" x14ac:dyDescent="0.25">
      <c r="A47" s="6" t="s">
        <v>6</v>
      </c>
      <c r="B47" s="122" t="s">
        <v>7</v>
      </c>
      <c r="C47" s="122"/>
      <c r="D47" s="122"/>
      <c r="E47" s="122"/>
      <c r="F47" s="122"/>
      <c r="G47" s="122"/>
      <c r="H47" s="122"/>
      <c r="I47" s="8"/>
      <c r="J47" s="16"/>
    </row>
    <row r="48" spans="1:14" s="17" customFormat="1" ht="21.95" hidden="1" customHeight="1" x14ac:dyDescent="0.2">
      <c r="A48" s="35"/>
      <c r="B48" s="36"/>
      <c r="C48" s="37"/>
      <c r="D48" s="36"/>
      <c r="E48" s="8"/>
      <c r="F48" s="94" t="s">
        <v>9</v>
      </c>
      <c r="G48" s="10" t="s">
        <v>17</v>
      </c>
      <c r="H48" s="11" t="s">
        <v>10</v>
      </c>
      <c r="I48" s="12"/>
      <c r="J48" s="16"/>
    </row>
    <row r="49" spans="1:10" s="17" customFormat="1" ht="14.25" hidden="1" customHeight="1" x14ac:dyDescent="0.2">
      <c r="A49" s="15"/>
      <c r="B49" s="8"/>
      <c r="C49" s="8"/>
      <c r="D49" s="8"/>
      <c r="E49" s="8"/>
      <c r="F49" s="8"/>
      <c r="G49" s="10" t="s">
        <v>18</v>
      </c>
      <c r="H49" s="11" t="s">
        <v>11</v>
      </c>
      <c r="I49" s="39"/>
      <c r="J49" s="16"/>
    </row>
    <row r="50" spans="1:10" s="17" customFormat="1" ht="15" hidden="1" customHeight="1" x14ac:dyDescent="0.25">
      <c r="A50" s="6" t="s">
        <v>13</v>
      </c>
      <c r="B50" s="122"/>
      <c r="C50" s="122"/>
      <c r="D50" s="122"/>
      <c r="E50" s="8"/>
      <c r="F50" s="9" t="s">
        <v>1</v>
      </c>
      <c r="G50" s="10" t="s">
        <v>18</v>
      </c>
      <c r="H50" s="11" t="s">
        <v>12</v>
      </c>
      <c r="I50" s="12"/>
      <c r="J50" s="16"/>
    </row>
    <row r="51" spans="1:10" s="17" customFormat="1" ht="14.25" hidden="1" customHeight="1" x14ac:dyDescent="0.2">
      <c r="A51" s="15"/>
      <c r="B51" s="12" t="s">
        <v>14</v>
      </c>
      <c r="C51" s="8"/>
      <c r="D51" s="8"/>
      <c r="E51" s="8"/>
      <c r="F51" s="8"/>
      <c r="G51" s="8"/>
      <c r="H51" s="8"/>
      <c r="I51" s="8"/>
      <c r="J51" s="16"/>
    </row>
    <row r="52" spans="1:10" s="17" customFormat="1" ht="14.25" hidden="1" customHeight="1" x14ac:dyDescent="0.2">
      <c r="A52" s="15"/>
      <c r="B52" s="12" t="s">
        <v>15</v>
      </c>
      <c r="C52" s="8"/>
      <c r="D52" s="8"/>
      <c r="E52" s="8"/>
      <c r="F52" s="119"/>
      <c r="G52" s="119"/>
      <c r="H52" s="128"/>
      <c r="I52" s="128"/>
      <c r="J52" s="16"/>
    </row>
    <row r="53" spans="1:10" s="17" customFormat="1" ht="14.25" hidden="1" customHeight="1" x14ac:dyDescent="0.2">
      <c r="A53" s="40"/>
      <c r="B53" s="12" t="s">
        <v>16</v>
      </c>
      <c r="C53" s="8"/>
      <c r="D53" s="8"/>
      <c r="E53" s="8"/>
      <c r="F53" s="119"/>
      <c r="G53" s="119"/>
      <c r="H53" s="128"/>
      <c r="I53" s="128"/>
      <c r="J53" s="16"/>
    </row>
    <row r="54" spans="1:10" s="17" customFormat="1" ht="14.25" hidden="1" customHeight="1" x14ac:dyDescent="0.2">
      <c r="E54" s="8"/>
      <c r="F54" s="119"/>
      <c r="G54" s="119"/>
      <c r="H54" s="120"/>
      <c r="I54" s="120"/>
      <c r="J54" s="16"/>
    </row>
    <row r="55" spans="1:10" s="17" customFormat="1" ht="14.25" hidden="1" customHeight="1" x14ac:dyDescent="0.2">
      <c r="A55" s="26"/>
      <c r="B55" s="27"/>
      <c r="C55" s="27"/>
      <c r="D55" s="27"/>
      <c r="E55" s="27"/>
      <c r="F55" s="27"/>
      <c r="G55" s="27"/>
      <c r="H55" s="27"/>
      <c r="I55" s="27"/>
      <c r="J55" s="28"/>
    </row>
    <row r="56" spans="1:10" ht="12.75" hidden="1" customHeight="1" x14ac:dyDescent="0.2"/>
    <row r="57" spans="1:10" ht="12.75" hidden="1" customHeight="1" x14ac:dyDescent="0.2"/>
    <row r="58" spans="1:10" ht="30" hidden="1" customHeight="1" x14ac:dyDescent="0.4">
      <c r="A58" s="30" t="s">
        <v>2</v>
      </c>
      <c r="B58" s="31"/>
      <c r="D58" s="95" t="s">
        <v>8</v>
      </c>
      <c r="E58" s="33">
        <f ca="1">TODAY()</f>
        <v>45516</v>
      </c>
      <c r="F58" s="121" t="s">
        <v>0</v>
      </c>
      <c r="G58" s="121"/>
      <c r="H58" s="34"/>
      <c r="I58" s="34"/>
      <c r="J58" s="13"/>
    </row>
    <row r="59" spans="1:10" s="17" customFormat="1" ht="14.25" hidden="1" customHeight="1" x14ac:dyDescent="0.2">
      <c r="A59" s="15"/>
      <c r="B59" s="8"/>
      <c r="C59" s="8"/>
      <c r="D59" s="8"/>
      <c r="E59" s="8"/>
      <c r="F59" s="8"/>
      <c r="G59" s="8"/>
      <c r="H59" s="8"/>
      <c r="I59" s="8"/>
      <c r="J59" s="16"/>
    </row>
    <row r="60" spans="1:10" s="17" customFormat="1" ht="21.95" hidden="1" customHeight="1" x14ac:dyDescent="0.25">
      <c r="A60" s="6" t="s">
        <v>4</v>
      </c>
      <c r="B60" s="122" t="s">
        <v>5</v>
      </c>
      <c r="C60" s="122"/>
      <c r="D60" s="122"/>
      <c r="E60" s="122"/>
      <c r="F60" s="123" t="s">
        <v>3</v>
      </c>
      <c r="G60" s="124"/>
      <c r="H60" s="125">
        <v>60</v>
      </c>
      <c r="I60" s="126"/>
      <c r="J60" s="19"/>
    </row>
    <row r="61" spans="1:10" s="17" customFormat="1" ht="21.95" hidden="1" customHeight="1" x14ac:dyDescent="0.25">
      <c r="A61" s="20" t="s">
        <v>3</v>
      </c>
      <c r="B61" s="127" t="str">
        <f>PESOSMN(H60)</f>
        <v>Sesenta Pesos 00/100</v>
      </c>
      <c r="C61" s="127"/>
      <c r="D61" s="127"/>
      <c r="E61" s="127"/>
      <c r="F61" s="127"/>
      <c r="G61" s="127"/>
      <c r="H61" s="127"/>
      <c r="I61" s="7"/>
      <c r="J61" s="21"/>
    </row>
    <row r="62" spans="1:10" s="17" customFormat="1" ht="14.25" hidden="1" customHeight="1" x14ac:dyDescent="0.2">
      <c r="A62" s="15"/>
      <c r="B62" s="8"/>
      <c r="C62" s="8"/>
      <c r="D62" s="8"/>
      <c r="E62" s="8"/>
      <c r="F62" s="8"/>
      <c r="G62" s="8"/>
      <c r="H62" s="8"/>
      <c r="I62" s="8"/>
      <c r="J62" s="16"/>
    </row>
    <row r="63" spans="1:10" s="17" customFormat="1" ht="15" hidden="1" customHeight="1" x14ac:dyDescent="0.25">
      <c r="A63" s="6" t="s">
        <v>6</v>
      </c>
      <c r="B63" s="122" t="s">
        <v>7</v>
      </c>
      <c r="C63" s="122"/>
      <c r="D63" s="122"/>
      <c r="E63" s="122"/>
      <c r="F63" s="122"/>
      <c r="G63" s="122"/>
      <c r="H63" s="122"/>
      <c r="I63" s="8"/>
      <c r="J63" s="16"/>
    </row>
    <row r="64" spans="1:10" s="17" customFormat="1" ht="21.95" hidden="1" customHeight="1" x14ac:dyDescent="0.2">
      <c r="A64" s="35"/>
      <c r="B64" s="36"/>
      <c r="C64" s="37"/>
      <c r="D64" s="36"/>
      <c r="E64" s="8"/>
      <c r="F64" s="94" t="s">
        <v>9</v>
      </c>
      <c r="G64" s="10" t="s">
        <v>17</v>
      </c>
      <c r="H64" s="11" t="s">
        <v>10</v>
      </c>
      <c r="I64" s="12"/>
      <c r="J64" s="16"/>
    </row>
    <row r="65" spans="1:10" s="17" customFormat="1" ht="14.25" hidden="1" customHeight="1" x14ac:dyDescent="0.2">
      <c r="A65" s="15"/>
      <c r="B65" s="8"/>
      <c r="C65" s="8"/>
      <c r="D65" s="8"/>
      <c r="E65" s="8"/>
      <c r="F65" s="8"/>
      <c r="G65" s="10" t="s">
        <v>18</v>
      </c>
      <c r="H65" s="11" t="s">
        <v>11</v>
      </c>
      <c r="I65" s="39"/>
      <c r="J65" s="16"/>
    </row>
    <row r="66" spans="1:10" s="17" customFormat="1" ht="15" hidden="1" customHeight="1" x14ac:dyDescent="0.25">
      <c r="A66" s="6" t="s">
        <v>13</v>
      </c>
      <c r="B66" s="122"/>
      <c r="C66" s="122"/>
      <c r="D66" s="122"/>
      <c r="E66" s="8"/>
      <c r="F66" s="9" t="s">
        <v>1</v>
      </c>
      <c r="G66" s="10" t="s">
        <v>18</v>
      </c>
      <c r="H66" s="11" t="s">
        <v>12</v>
      </c>
      <c r="I66" s="12"/>
      <c r="J66" s="16"/>
    </row>
    <row r="67" spans="1:10" s="17" customFormat="1" ht="14.25" hidden="1" customHeight="1" x14ac:dyDescent="0.2">
      <c r="A67" s="15"/>
      <c r="B67" s="12" t="s">
        <v>14</v>
      </c>
      <c r="C67" s="8"/>
      <c r="D67" s="8"/>
      <c r="E67" s="8"/>
      <c r="F67" s="8"/>
      <c r="G67" s="8"/>
      <c r="H67" s="8"/>
      <c r="I67" s="8"/>
      <c r="J67" s="16"/>
    </row>
    <row r="68" spans="1:10" s="17" customFormat="1" ht="14.25" hidden="1" customHeight="1" x14ac:dyDescent="0.2">
      <c r="A68" s="15"/>
      <c r="B68" s="12" t="s">
        <v>15</v>
      </c>
      <c r="C68" s="8"/>
      <c r="D68" s="8"/>
      <c r="E68" s="8"/>
      <c r="F68" s="119"/>
      <c r="G68" s="119"/>
      <c r="H68" s="128"/>
      <c r="I68" s="128"/>
      <c r="J68" s="16"/>
    </row>
    <row r="69" spans="1:10" s="17" customFormat="1" ht="14.25" hidden="1" customHeight="1" x14ac:dyDescent="0.2">
      <c r="A69" s="40"/>
      <c r="B69" s="12" t="s">
        <v>16</v>
      </c>
      <c r="C69" s="8"/>
      <c r="D69" s="8"/>
      <c r="E69" s="8"/>
      <c r="F69" s="119"/>
      <c r="G69" s="119"/>
      <c r="H69" s="128"/>
      <c r="I69" s="128"/>
      <c r="J69" s="16"/>
    </row>
    <row r="70" spans="1:10" s="17" customFormat="1" ht="14.25" hidden="1" customHeight="1" x14ac:dyDescent="0.2">
      <c r="E70" s="8"/>
      <c r="F70" s="119"/>
      <c r="G70" s="119"/>
      <c r="H70" s="120"/>
      <c r="I70" s="120"/>
      <c r="J70" s="16"/>
    </row>
    <row r="71" spans="1:10" s="17" customFormat="1" ht="14.25" hidden="1" customHeight="1" x14ac:dyDescent="0.2">
      <c r="A71" s="26"/>
      <c r="B71" s="27"/>
      <c r="C71" s="27"/>
      <c r="D71" s="27"/>
      <c r="E71" s="27"/>
      <c r="F71" s="27"/>
      <c r="G71" s="27"/>
      <c r="H71" s="27"/>
      <c r="I71" s="27"/>
      <c r="J71" s="28"/>
    </row>
    <row r="72" spans="1:10" ht="12.75" hidden="1" customHeight="1" x14ac:dyDescent="0.2"/>
    <row r="73" spans="1:10" ht="12.75" hidden="1" customHeight="1" x14ac:dyDescent="0.2"/>
    <row r="74" spans="1:10" ht="12.75" hidden="1" customHeight="1" x14ac:dyDescent="0.2"/>
    <row r="75" spans="1:10" ht="12.75" hidden="1" customHeight="1" x14ac:dyDescent="0.2"/>
    <row r="76" spans="1:10" ht="12.75" hidden="1" customHeight="1" x14ac:dyDescent="0.2"/>
    <row r="77" spans="1:10" ht="12.75" hidden="1" customHeight="1" x14ac:dyDescent="0.2"/>
    <row r="78" spans="1:10" ht="12.75" hidden="1" customHeight="1" x14ac:dyDescent="0.2"/>
    <row r="79" spans="1:10" ht="12.75" hidden="1" customHeight="1" x14ac:dyDescent="0.2"/>
    <row r="80" spans="1:10" ht="12.75" hidden="1" customHeight="1" x14ac:dyDescent="0.2"/>
    <row r="81" ht="12.75" hidden="1" customHeight="1" x14ac:dyDescent="0.2"/>
    <row r="82" ht="12.75" hidden="1" customHeight="1" x14ac:dyDescent="0.2"/>
    <row r="83" ht="12.75" hidden="1" customHeight="1" x14ac:dyDescent="0.2"/>
    <row r="84" ht="12.75" hidden="1" customHeight="1" x14ac:dyDescent="0.2"/>
    <row r="85" ht="12.75" hidden="1" customHeight="1" x14ac:dyDescent="0.2"/>
    <row r="86" ht="12.75" hidden="1" customHeight="1" x14ac:dyDescent="0.2"/>
    <row r="87" ht="12.75" hidden="1" customHeight="1" x14ac:dyDescent="0.2"/>
    <row r="88" ht="12.75" hidden="1" customHeight="1" x14ac:dyDescent="0.2"/>
    <row r="89" ht="12.75" hidden="1" customHeight="1" x14ac:dyDescent="0.2"/>
    <row r="90" ht="12.75" hidden="1" customHeight="1" x14ac:dyDescent="0.2"/>
    <row r="91" ht="12.75" hidden="1" customHeight="1" x14ac:dyDescent="0.2"/>
    <row r="92" ht="12.75" hidden="1" customHeight="1" x14ac:dyDescent="0.2"/>
    <row r="93" ht="12.75" hidden="1" customHeight="1" x14ac:dyDescent="0.2"/>
    <row r="94" ht="12.75" hidden="1" customHeight="1" x14ac:dyDescent="0.2"/>
    <row r="95" ht="12.75" hidden="1" customHeight="1" x14ac:dyDescent="0.2"/>
    <row r="96" ht="12.75" hidden="1" customHeight="1" x14ac:dyDescent="0.2"/>
    <row r="97" ht="12.75" hidden="1" customHeight="1" x14ac:dyDescent="0.2"/>
    <row r="98" ht="12.75" hidden="1" customHeight="1" x14ac:dyDescent="0.2"/>
    <row r="99" ht="12.75" hidden="1" customHeight="1" x14ac:dyDescent="0.2"/>
    <row r="100" ht="12.75" hidden="1" customHeight="1" x14ac:dyDescent="0.2"/>
    <row r="101" ht="12.75" hidden="1" customHeight="1" x14ac:dyDescent="0.2"/>
    <row r="102" ht="12.75" hidden="1" customHeight="1" x14ac:dyDescent="0.2"/>
    <row r="103" ht="12.75" hidden="1" customHeight="1" x14ac:dyDescent="0.2"/>
    <row r="104" ht="12.75" hidden="1" customHeight="1" x14ac:dyDescent="0.2"/>
    <row r="105" ht="12.75" hidden="1" customHeight="1" x14ac:dyDescent="0.2"/>
    <row r="106" ht="12.75" hidden="1" customHeight="1" x14ac:dyDescent="0.2"/>
    <row r="107" ht="12.75" hidden="1" customHeight="1" x14ac:dyDescent="0.2"/>
    <row r="108" ht="12.75" hidden="1" customHeight="1" x14ac:dyDescent="0.2"/>
    <row r="109" ht="12.75" hidden="1" customHeight="1" x14ac:dyDescent="0.2"/>
    <row r="110" ht="12.75" hidden="1" customHeight="1" x14ac:dyDescent="0.2"/>
    <row r="111" ht="12.75" hidden="1" customHeight="1" x14ac:dyDescent="0.2"/>
    <row r="112" ht="12.75" hidden="1" customHeight="1" x14ac:dyDescent="0.2"/>
    <row r="113" ht="12.75" hidden="1" customHeight="1" x14ac:dyDescent="0.2"/>
    <row r="114" ht="12.75" hidden="1" customHeight="1" x14ac:dyDescent="0.2"/>
    <row r="115" ht="12.75" hidden="1" customHeight="1" x14ac:dyDescent="0.2"/>
    <row r="116" ht="12.75" hidden="1" customHeight="1" x14ac:dyDescent="0.2"/>
    <row r="117" ht="12.75" hidden="1" customHeight="1" x14ac:dyDescent="0.2"/>
    <row r="118" ht="12.75" hidden="1" customHeight="1" x14ac:dyDescent="0.2"/>
    <row r="119" ht="12.75" hidden="1" customHeight="1" x14ac:dyDescent="0.2"/>
    <row r="120" ht="12.75" hidden="1" customHeight="1" x14ac:dyDescent="0.2"/>
    <row r="121" ht="12.75" hidden="1" customHeight="1" x14ac:dyDescent="0.2"/>
    <row r="122" ht="12.75" hidden="1" customHeight="1" x14ac:dyDescent="0.2"/>
    <row r="123" ht="12.75" hidden="1" customHeight="1" x14ac:dyDescent="0.2"/>
    <row r="124" ht="12.75" hidden="1" customHeight="1" x14ac:dyDescent="0.2"/>
    <row r="125" ht="12.75" hidden="1" customHeight="1" x14ac:dyDescent="0.2"/>
    <row r="126" ht="12.75" hidden="1" customHeight="1" x14ac:dyDescent="0.2"/>
    <row r="127" ht="12.75" hidden="1" customHeight="1" x14ac:dyDescent="0.2"/>
    <row r="128" ht="12.75" hidden="1" customHeight="1" x14ac:dyDescent="0.2"/>
    <row r="129" ht="12.75" hidden="1" customHeight="1" x14ac:dyDescent="0.2"/>
    <row r="130" ht="12.75" hidden="1" customHeight="1" x14ac:dyDescent="0.2"/>
    <row r="131" ht="12.75" hidden="1" customHeight="1" x14ac:dyDescent="0.2"/>
    <row r="132" ht="12.75" hidden="1" customHeight="1" x14ac:dyDescent="0.2"/>
    <row r="133" ht="12.75" hidden="1" customHeight="1" x14ac:dyDescent="0.2"/>
    <row r="134" ht="12.75" hidden="1" customHeight="1" x14ac:dyDescent="0.2"/>
    <row r="135" ht="12.75" hidden="1" customHeight="1" x14ac:dyDescent="0.2"/>
    <row r="136" ht="12.75" hidden="1" customHeight="1" x14ac:dyDescent="0.2"/>
    <row r="137" ht="12.75" hidden="1" customHeight="1" x14ac:dyDescent="0.2"/>
    <row r="138" ht="12.75" hidden="1" customHeight="1" x14ac:dyDescent="0.2"/>
    <row r="139" ht="12.75" hidden="1" customHeight="1" x14ac:dyDescent="0.2"/>
    <row r="140" ht="12.75" hidden="1" customHeight="1" x14ac:dyDescent="0.2"/>
    <row r="141" ht="12.75" hidden="1" customHeight="1" x14ac:dyDescent="0.2"/>
    <row r="142" ht="12.75" hidden="1" customHeight="1" x14ac:dyDescent="0.2"/>
    <row r="143" ht="12.75" hidden="1" customHeight="1" x14ac:dyDescent="0.2"/>
    <row r="144" ht="12.75" hidden="1" customHeight="1" x14ac:dyDescent="0.2"/>
    <row r="145" ht="12.75" hidden="1" customHeight="1" x14ac:dyDescent="0.2"/>
    <row r="146" ht="12.75" hidden="1" customHeight="1" x14ac:dyDescent="0.2"/>
    <row r="147" ht="12.75" hidden="1" customHeight="1" x14ac:dyDescent="0.2"/>
    <row r="148" ht="12.75" hidden="1" customHeight="1" x14ac:dyDescent="0.2"/>
    <row r="149" ht="12.75" hidden="1" customHeight="1" x14ac:dyDescent="0.2"/>
    <row r="150" ht="12.75" hidden="1" customHeight="1" x14ac:dyDescent="0.2"/>
    <row r="151" ht="12.75" hidden="1" customHeight="1" x14ac:dyDescent="0.2"/>
    <row r="152" ht="12.75" hidden="1" customHeight="1" x14ac:dyDescent="0.2"/>
    <row r="153" ht="12.75" hidden="1" customHeight="1" x14ac:dyDescent="0.2"/>
    <row r="154" ht="12.75" hidden="1" customHeight="1" x14ac:dyDescent="0.2"/>
    <row r="155" ht="12.75" hidden="1" customHeight="1" x14ac:dyDescent="0.2"/>
    <row r="156" ht="12.75" hidden="1" customHeight="1" x14ac:dyDescent="0.2"/>
    <row r="157" ht="12.75" hidden="1" customHeight="1" x14ac:dyDescent="0.2"/>
    <row r="158" ht="12.75" hidden="1" customHeight="1" x14ac:dyDescent="0.2"/>
    <row r="159" ht="12.75" hidden="1" customHeight="1" x14ac:dyDescent="0.2"/>
    <row r="160" ht="12.75" hidden="1" customHeight="1" x14ac:dyDescent="0.2"/>
    <row r="161" ht="12.75" hidden="1" customHeight="1" x14ac:dyDescent="0.2"/>
    <row r="162" ht="12.75" hidden="1" customHeight="1" x14ac:dyDescent="0.2"/>
    <row r="163" ht="12.75" hidden="1" customHeight="1" x14ac:dyDescent="0.2"/>
    <row r="164" ht="12.75" hidden="1" customHeight="1" x14ac:dyDescent="0.2"/>
    <row r="165" ht="12.75" hidden="1" customHeight="1" x14ac:dyDescent="0.2"/>
    <row r="166" ht="12.75" hidden="1" customHeight="1" x14ac:dyDescent="0.2"/>
    <row r="167" ht="12.75" hidden="1" customHeight="1" x14ac:dyDescent="0.2"/>
    <row r="168" ht="12.75" hidden="1" customHeight="1" x14ac:dyDescent="0.2"/>
    <row r="169" ht="12.75" hidden="1" customHeight="1" x14ac:dyDescent="0.2"/>
    <row r="170" ht="12.75" hidden="1" customHeight="1" x14ac:dyDescent="0.2"/>
    <row r="171" ht="12.75" hidden="1" customHeight="1" x14ac:dyDescent="0.2"/>
    <row r="172" ht="12.75" hidden="1" customHeight="1" x14ac:dyDescent="0.2"/>
    <row r="173" ht="12.75" hidden="1" customHeight="1" x14ac:dyDescent="0.2"/>
    <row r="174" ht="12.75" hidden="1" customHeight="1" x14ac:dyDescent="0.2"/>
    <row r="175" ht="12.75" hidden="1" customHeight="1" x14ac:dyDescent="0.2"/>
    <row r="176" ht="12.75" hidden="1" customHeight="1" x14ac:dyDescent="0.2"/>
    <row r="177" ht="12.75" hidden="1" customHeight="1" x14ac:dyDescent="0.2"/>
    <row r="178" ht="12.75" hidden="1" customHeight="1" x14ac:dyDescent="0.2"/>
    <row r="179" ht="12.75" hidden="1" customHeight="1" x14ac:dyDescent="0.2"/>
    <row r="180" ht="12.75" hidden="1" customHeight="1" x14ac:dyDescent="0.2"/>
    <row r="181" ht="12.75" hidden="1" customHeight="1" x14ac:dyDescent="0.2"/>
    <row r="182" ht="12.75" hidden="1" customHeight="1" x14ac:dyDescent="0.2"/>
    <row r="183" ht="12.75" hidden="1" customHeight="1" x14ac:dyDescent="0.2"/>
    <row r="184" ht="12.75" hidden="1" customHeight="1" x14ac:dyDescent="0.2"/>
    <row r="185" ht="12.75" hidden="1" customHeight="1" x14ac:dyDescent="0.2"/>
    <row r="186" ht="12.75" hidden="1" customHeight="1" x14ac:dyDescent="0.2"/>
    <row r="187" ht="12.75" hidden="1" customHeight="1" x14ac:dyDescent="0.2"/>
    <row r="188" ht="12.75" hidden="1" customHeight="1" x14ac:dyDescent="0.2"/>
    <row r="189" ht="12.75" hidden="1" customHeight="1" x14ac:dyDescent="0.2"/>
    <row r="190" ht="12.75" hidden="1" customHeight="1" x14ac:dyDescent="0.2"/>
    <row r="191" ht="12.75" hidden="1" customHeight="1" x14ac:dyDescent="0.2"/>
    <row r="192" ht="12.75" hidden="1" customHeight="1" x14ac:dyDescent="0.2"/>
    <row r="193" ht="12.75" hidden="1" customHeight="1" x14ac:dyDescent="0.2"/>
    <row r="194" ht="12.75" hidden="1" customHeight="1" x14ac:dyDescent="0.2"/>
    <row r="195" ht="12.75" hidden="1" customHeight="1" x14ac:dyDescent="0.2"/>
    <row r="196" ht="12.75" hidden="1" customHeight="1" x14ac:dyDescent="0.2"/>
    <row r="197" ht="12.75" hidden="1" customHeight="1" x14ac:dyDescent="0.2"/>
    <row r="198" ht="12.75" hidden="1" customHeight="1" x14ac:dyDescent="0.2"/>
    <row r="199" ht="12.75" hidden="1" customHeight="1" x14ac:dyDescent="0.2"/>
    <row r="200" ht="12.75" hidden="1" customHeight="1" x14ac:dyDescent="0.2"/>
    <row r="201" ht="12.75" hidden="1" customHeight="1" x14ac:dyDescent="0.2"/>
    <row r="202" ht="12.75" hidden="1" customHeight="1" x14ac:dyDescent="0.2"/>
    <row r="203" ht="12.75" hidden="1" customHeight="1" x14ac:dyDescent="0.2"/>
    <row r="204" ht="12.75" hidden="1" customHeight="1" x14ac:dyDescent="0.2"/>
    <row r="205" ht="12.75" hidden="1" customHeight="1" x14ac:dyDescent="0.2"/>
    <row r="206" ht="12.75" hidden="1" customHeight="1" x14ac:dyDescent="0.2"/>
    <row r="207" ht="12.75" hidden="1" customHeight="1" x14ac:dyDescent="0.2"/>
    <row r="208" ht="12.75" hidden="1" customHeight="1" x14ac:dyDescent="0.2"/>
    <row r="209" spans="1:10" ht="12.75" hidden="1" customHeight="1" x14ac:dyDescent="0.2"/>
    <row r="210" spans="1:10" ht="12.75" hidden="1" customHeight="1" x14ac:dyDescent="0.2"/>
    <row r="211" spans="1:10" ht="12.75" hidden="1" customHeight="1" x14ac:dyDescent="0.2"/>
    <row r="212" spans="1:10" ht="12.75" hidden="1" customHeight="1" x14ac:dyDescent="0.2"/>
    <row r="213" spans="1:10" ht="12.75" hidden="1" customHeight="1" x14ac:dyDescent="0.2"/>
    <row r="214" spans="1:10" ht="12.75" hidden="1" customHeight="1" x14ac:dyDescent="0.2"/>
    <row r="215" spans="1:10" x14ac:dyDescent="0.2">
      <c r="A215" s="41"/>
      <c r="B215" s="58"/>
      <c r="C215" s="58"/>
      <c r="D215" s="58"/>
      <c r="E215" s="41"/>
      <c r="F215" s="41"/>
      <c r="G215" s="58"/>
      <c r="H215" s="58"/>
      <c r="I215" s="58"/>
      <c r="J215" s="41"/>
    </row>
    <row r="216" spans="1:10" x14ac:dyDescent="0.2">
      <c r="A216" s="41"/>
      <c r="B216" s="59"/>
      <c r="C216" s="41"/>
      <c r="D216" s="41"/>
      <c r="E216" s="41"/>
      <c r="F216" s="41"/>
      <c r="G216" s="60"/>
      <c r="H216" s="58"/>
      <c r="I216" s="58"/>
      <c r="J216" s="41"/>
    </row>
    <row r="217" spans="1:10" ht="15" x14ac:dyDescent="0.2">
      <c r="A217" s="41"/>
      <c r="B217" s="61"/>
      <c r="C217" s="41"/>
      <c r="D217" s="57" t="s">
        <v>31</v>
      </c>
      <c r="E217" s="57"/>
      <c r="F217" s="57"/>
      <c r="G217" s="57"/>
      <c r="H217" s="57"/>
      <c r="I217" s="57"/>
      <c r="J217" s="57"/>
    </row>
    <row r="218" spans="1:10" ht="17.25" customHeight="1" x14ac:dyDescent="0.2">
      <c r="A218" s="148" t="s">
        <v>32</v>
      </c>
      <c r="B218" s="149"/>
      <c r="C218" s="149"/>
      <c r="D218" s="149"/>
      <c r="E218" s="149"/>
      <c r="F218" s="149"/>
      <c r="G218" s="149"/>
      <c r="H218" s="149"/>
      <c r="I218" s="149"/>
      <c r="J218" s="149"/>
    </row>
    <row r="219" spans="1:10" ht="15" x14ac:dyDescent="0.2">
      <c r="A219" s="150" t="s">
        <v>33</v>
      </c>
      <c r="B219" s="150"/>
      <c r="C219" s="150"/>
      <c r="D219" s="150"/>
      <c r="E219" s="150"/>
      <c r="F219" s="150"/>
      <c r="G219" s="150"/>
      <c r="H219" s="150"/>
      <c r="I219" s="150"/>
      <c r="J219" s="150"/>
    </row>
  </sheetData>
  <mergeCells count="68">
    <mergeCell ref="G9:J9"/>
    <mergeCell ref="A3:J3"/>
    <mergeCell ref="A4:J4"/>
    <mergeCell ref="A5:J5"/>
    <mergeCell ref="A6:J6"/>
    <mergeCell ref="A7:J7"/>
    <mergeCell ref="A22:E22"/>
    <mergeCell ref="H22:I22"/>
    <mergeCell ref="B10:I10"/>
    <mergeCell ref="B12:E12"/>
    <mergeCell ref="F12:G12"/>
    <mergeCell ref="H12:I12"/>
    <mergeCell ref="B13:C13"/>
    <mergeCell ref="B14:I14"/>
    <mergeCell ref="B16:I18"/>
    <mergeCell ref="A20:F20"/>
    <mergeCell ref="H20:I20"/>
    <mergeCell ref="A21:E21"/>
    <mergeCell ref="H21:I21"/>
    <mergeCell ref="B29:C29"/>
    <mergeCell ref="E29:F29"/>
    <mergeCell ref="G29:H29"/>
    <mergeCell ref="A23:E23"/>
    <mergeCell ref="H23:I23"/>
    <mergeCell ref="A24:E24"/>
    <mergeCell ref="H24:I24"/>
    <mergeCell ref="A25:G25"/>
    <mergeCell ref="H25:I25"/>
    <mergeCell ref="A26:G26"/>
    <mergeCell ref="H26:I26"/>
    <mergeCell ref="A27:E27"/>
    <mergeCell ref="H27:I27"/>
    <mergeCell ref="A28:J28"/>
    <mergeCell ref="B45:H45"/>
    <mergeCell ref="A30:I30"/>
    <mergeCell ref="F31:G31"/>
    <mergeCell ref="H31:I31"/>
    <mergeCell ref="A32:J32"/>
    <mergeCell ref="A35:J35"/>
    <mergeCell ref="A36:J36"/>
    <mergeCell ref="A37:J37"/>
    <mergeCell ref="F42:G42"/>
    <mergeCell ref="B44:E44"/>
    <mergeCell ref="F44:G44"/>
    <mergeCell ref="H44:I44"/>
    <mergeCell ref="B47:H47"/>
    <mergeCell ref="B50:D50"/>
    <mergeCell ref="F52:G52"/>
    <mergeCell ref="H52:I52"/>
    <mergeCell ref="F53:G53"/>
    <mergeCell ref="H53:I53"/>
    <mergeCell ref="F54:G54"/>
    <mergeCell ref="H54:I54"/>
    <mergeCell ref="F58:G58"/>
    <mergeCell ref="B60:E60"/>
    <mergeCell ref="F60:G60"/>
    <mergeCell ref="H60:I60"/>
    <mergeCell ref="F70:G70"/>
    <mergeCell ref="H70:I70"/>
    <mergeCell ref="A218:J218"/>
    <mergeCell ref="A219:J219"/>
    <mergeCell ref="B61:H61"/>
    <mergeCell ref="B63:H63"/>
    <mergeCell ref="B66:D66"/>
    <mergeCell ref="F68:G68"/>
    <mergeCell ref="H68:I68"/>
    <mergeCell ref="F69:G69"/>
    <mergeCell ref="H69:I69"/>
  </mergeCells>
  <hyperlinks>
    <hyperlink ref="A218" r:id="rId1" display="mailto:asociacionindigenalewashii@gmail.com"/>
  </hyperlinks>
  <pageMargins left="0.70866141732283472" right="0.70866141732283472" top="0.74803149606299213" bottom="0.74803149606299213" header="0.31496062992125984" footer="0.31496062992125984"/>
  <pageSetup scale="87" orientation="portrait" r:id="rId2"/>
  <drawing r:id="rId3"/>
  <legacy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10</vt:i4>
      </vt:variant>
    </vt:vector>
  </HeadingPairs>
  <TitlesOfParts>
    <vt:vector size="20" baseType="lpstr">
      <vt:lpstr>AMBIENTAL</vt:lpstr>
      <vt:lpstr>PSICOSOCIAL</vt:lpstr>
      <vt:lpstr>SABEDOR ANCESTRAL</vt:lpstr>
      <vt:lpstr>DINAMIZADOR</vt:lpstr>
      <vt:lpstr>PROF. CONTABLE</vt:lpstr>
      <vt:lpstr>AUX. ADMINISTRATIVO</vt:lpstr>
      <vt:lpstr>ASESOR JURIDICO</vt:lpstr>
      <vt:lpstr>SERVICIO TRANSPORTE</vt:lpstr>
      <vt:lpstr>RESUMEN de PAGOS</vt:lpstr>
      <vt:lpstr>CARLOS DIAZ</vt:lpstr>
      <vt:lpstr>AMBIENTAL!Área_de_impresión</vt:lpstr>
      <vt:lpstr>'ASESOR JURIDICO'!Área_de_impresión</vt:lpstr>
      <vt:lpstr>'AUX. ADMINISTRATIVO'!Área_de_impresión</vt:lpstr>
      <vt:lpstr>'CARLOS DIAZ'!Área_de_impresión</vt:lpstr>
      <vt:lpstr>DINAMIZADOR!Área_de_impresión</vt:lpstr>
      <vt:lpstr>'PROF. CONTABLE'!Área_de_impresión</vt:lpstr>
      <vt:lpstr>PSICOSOCIAL!Área_de_impresión</vt:lpstr>
      <vt:lpstr>'RESUMEN de PAGOS'!Área_de_impresión</vt:lpstr>
      <vt:lpstr>'SABEDOR ANCESTRAL'!Área_de_impresión</vt:lpstr>
      <vt:lpstr>'SERVICIO TRANSPORTE'!Área_de_impresión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Recibo de Dinero en Excel</dc:title>
  <dc:subject>https://derechoenmexico.mx</dc:subject>
  <dc:creator>carlos diaz</dc:creator>
  <cp:keywords>https:/derechoenmexico.mx</cp:keywords>
  <dc:description>recibo de dinero</dc:description>
  <cp:lastModifiedBy>carlos diaz</cp:lastModifiedBy>
  <cp:lastPrinted>2024-08-12T16:54:50Z</cp:lastPrinted>
  <dcterms:created xsi:type="dcterms:W3CDTF">2009-03-30T16:20:41Z</dcterms:created>
  <dcterms:modified xsi:type="dcterms:W3CDTF">2024-08-12T17:03:13Z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pyright">
    <vt:lpwstr>2009-2016 Vertex42 LLC</vt:lpwstr>
  </property>
  <property fmtid="{D5CDD505-2E9C-101B-9397-08002B2CF9AE}" pid="3" name="Version">
    <vt:lpwstr>1.2.1</vt:lpwstr>
  </property>
  <property fmtid="{D5CDD505-2E9C-101B-9397-08002B2CF9AE}" pid="4" name="Source">
    <vt:lpwstr>https://www.vertex42.com/ExcelTemplates/cash-receipt-template.html</vt:lpwstr>
  </property>
</Properties>
</file>